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puts" sheetId="2" state="visible" r:id="rId4"/>
    <sheet name="PPI COGS" sheetId="3" state="visible" r:id="rId5"/>
    <sheet name="Warranty COGS" sheetId="4" state="visible" r:id="rId6"/>
    <sheet name="Shop Pre-Estimate COG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<sst xmlns="http://schemas.openxmlformats.org/spreadsheetml/2006/main" count="324" uniqueCount="254">
  <si>
    <t xml:space="preserve">PerfectPPI — COGS and gross margin by product (base case)</t>
  </si>
  <si>
    <t xml:space="preserve">All figures link to the product sheets; change Inputs to re-run. Ordered by how much of the number comes from the repo versus assumptions — read the notes column.</t>
  </si>
  <si>
    <t xml:space="preserve">Product</t>
  </si>
  <si>
    <t xml:space="preserve">Revenue / unit</t>
  </si>
  <si>
    <t xml:space="preserve">COGS / unit</t>
  </si>
  <si>
    <t xml:space="preserve">Gross profit / unit</t>
  </si>
  <si>
    <t xml:space="preserve">Gross margin</t>
  </si>
  <si>
    <t xml:space="preserve">What drives it</t>
  </si>
  <si>
    <t xml:space="preserve">Consumer PPI — self-inspection (personal)</t>
  </si>
  <si>
    <t xml:space="preserve">Infrastructure only: two Gemini 2.5 Flash calls on ≤16 photos, R2 storage, platform share, Stripe. Cents per unit — pricing is a product decision, not a cost one.</t>
  </si>
  <si>
    <t xml:space="preserve">Consumer PPI — general technician</t>
  </si>
  <si>
    <t xml:space="preserve">Technician payout + travel ≈ 85–90% of COGS. Margin moves with payout structure, routing density and price; not with AI or storage.</t>
  </si>
  <si>
    <t xml:space="preserve">Consumer PPI — certified technician</t>
  </si>
  <si>
    <t xml:space="preserve">Same structure with the certified-tech payout premium.</t>
  </si>
  <si>
    <t xml:space="preserve">Consumer PPI — dents &amp; tires scope</t>
  </si>
  <si>
    <t xml:space="preserve">Shorter scope, lower payout; feeds the dents/tires coverage product.</t>
  </si>
  <si>
    <t xml:space="preserve">VSC — Basic $599 (1 yr)</t>
  </si>
  <si>
    <t xml:space="preserve">Underwriting cost under the structure selected on Inputs. Launch-blocked until obligor/licensing questions in docs/compliance/open-questions.md are closed.</t>
  </si>
  <si>
    <t xml:space="preserve">VSC — Standard $999 (2 yr)</t>
  </si>
  <si>
    <t xml:space="preserve">Same.</t>
  </si>
  <si>
    <t xml:space="preserve">VSC — Premium $1,499 (3 yr)</t>
  </si>
  <si>
    <t xml:space="preserve">Bundle — certified PPI + Standard VSC</t>
  </si>
  <si>
    <t xml:space="preserve">The inspection is the underwriting gate for the contract; sold together the blended margin is dominated by the VSC.</t>
  </si>
  <si>
    <t xml:space="preserve">Shop pre-estimate — option A, per inspection</t>
  </si>
  <si>
    <t xml:space="preserve">No labor. COGS is AI tokens + storage + platform share; 90%+ margin at any sane price. Sales and onboarding are the real cost, outside COGS.</t>
  </si>
  <si>
    <t xml:space="preserve">Shop pre-estimate — option B, subscription (per inspection equivalent)</t>
  </si>
  <si>
    <t xml:space="preserve">Revenue per inspection = subscription ÷ inspections per shop-month; margin falls as a shop uses it more, which is the point of the subscription.</t>
  </si>
  <si>
    <t xml:space="preserve">Sensitivity — general-technician PPI gross margin vs. technician payout and price</t>
  </si>
  <si>
    <t xml:space="preserve">Technician payout \ Price</t>
  </si>
  <si>
    <t xml:space="preserve">Not COGS (kept out on purpose): salaries, sales &amp; marketing, customer acquisition, technician recruiting, app store fees on digital-only sales (Apple takes 15–30% if the self-inspection is sold as an in-app purchase — decide the billing path before pricing it), R&amp;D, and the fixed platform cost beyond its per-unit allocation.</t>
  </si>
  <si>
    <t xml:space="preserve">PerfectPPI — COGS model inputs</t>
  </si>
  <si>
    <t xml:space="preserve">Blue cells are inputs; yellow-filled blue cells are the assumptions that most need your own numbers. Every other sheet is formulas. Sources: 'Repo:' = read from this repository; 'List price' = vendor public pricing at time of writing — verify against your invoices; 'Assumption' = a planning estimate to replace.</t>
  </si>
  <si>
    <t xml:space="preserve">Volume and shared platform (allocation base)</t>
  </si>
  <si>
    <t xml:space="preserve">Value</t>
  </si>
  <si>
    <t xml:space="preserve">Unit</t>
  </si>
  <si>
    <t xml:space="preserve">Source / note</t>
  </si>
  <si>
    <t xml:space="preserve">Consumer PPI inspections per month (planning volume)</t>
  </si>
  <si>
    <t xml:space="preserve">inspections / month</t>
  </si>
  <si>
    <t xml:space="preserve">Assumption — used only to spread fixed platform cost per unit. Raise it and per-unit hosting falls.</t>
  </si>
  <si>
    <t xml:space="preserve">Shop pre-estimate inspections per month (planning volume)</t>
  </si>
  <si>
    <t xml:space="preserve">Assumption — 20 shops × 120 inspections/month. Shares the same platform allocation.</t>
  </si>
  <si>
    <t xml:space="preserve">Fixed platform cost</t>
  </si>
  <si>
    <t xml:space="preserve">$ / month</t>
  </si>
  <si>
    <t xml:space="preserve">List price: Supabase Pro $25 + small compute add-on ~$60, Vercel Pro $20, Apple Developer $99/yr (~$8/mo), monitoring/alerts ~$32. Verify against invoices. Payroll and marketing are NOT in COGS.</t>
  </si>
  <si>
    <t xml:space="preserve">Loaded cost per support ticket</t>
  </si>
  <si>
    <t xml:space="preserve">$ / ticket</t>
  </si>
  <si>
    <t xml:space="preserve">Assumption — ~15 min at $24/hr loaded.</t>
  </si>
  <si>
    <t xml:space="preserve">Support tickets per consumer inspection</t>
  </si>
  <si>
    <t xml:space="preserve">tickets / inspection</t>
  </si>
  <si>
    <t xml:space="preserve">Assumption.</t>
  </si>
  <si>
    <t xml:space="preserve">Support tickets per shop inspection</t>
  </si>
  <si>
    <t xml:space="preserve">Assumption — shops are trained once; per-inspection contact is rare.</t>
  </si>
  <si>
    <t xml:space="preserve">Google Gemini 2.5 Flash (src/lib/ai/gemini.ts, default model)</t>
  </si>
  <si>
    <t xml:space="preserve">Input price</t>
  </si>
  <si>
    <t xml:space="preserve">$ / 1M tokens</t>
  </si>
  <si>
    <t xml:space="preserve">List price, Gemini 2.5 Flash paid tier (text/image/video input). Verify at ai.google.dev/pricing.</t>
  </si>
  <si>
    <t xml:space="preserve">Output price</t>
  </si>
  <si>
    <t xml:space="preserve">List price, Gemini 2.5 Flash paid tier.</t>
  </si>
  <si>
    <t xml:space="preserve">Tokens per photo sent to the model</t>
  </si>
  <si>
    <t xml:space="preserve">tokens / photo</t>
  </si>
  <si>
    <t xml:space="preserve">Gemini image tokenisation: images ≤384px = 258 tokens; larger images are tiled into 768px crops at 258 tokens each. A 12MP (4032×3024) photo = 6×4 tiles = 6,192 tokens. Downscaling photos to ≤768px before the call cuts this to 258.</t>
  </si>
  <si>
    <t xml:space="preserve">Photos sent to the model per consumer inspection</t>
  </si>
  <si>
    <t xml:space="preserve">photos</t>
  </si>
  <si>
    <t xml:space="preserve">Repo: INSPECTION_PHOTO_LIMIT default 16 (src/features/outputs/inspection-photos.ts).</t>
  </si>
  <si>
    <t xml:space="preserve">Text prompt + answers per model call</t>
  </si>
  <si>
    <t xml:space="preserve">tokens / call</t>
  </si>
  <si>
    <t xml:space="preserve">Repo: standardized-output prompt ≈13k chars and VSC prompt ≈5k chars (src/lib/ai/prompts) plus 76 inspection answers (src/features/ppi/constants.ts). Estimate.</t>
  </si>
  <si>
    <t xml:space="preserve">Structured output per model call</t>
  </si>
  <si>
    <t xml:space="preserve">Assumption — JSON report / coverage determination.</t>
  </si>
  <si>
    <t xml:space="preserve">Model calls per consumer inspection</t>
  </si>
  <si>
    <t xml:space="preserve">calls</t>
  </si>
  <si>
    <t xml:space="preserve">Repo: standardized report + VSC determination, both in one pipeline run (src/features/outputs/pipeline.ts). Photos are counted on both calls (conservative).</t>
  </si>
  <si>
    <t xml:space="preserve">VIN photo read</t>
  </si>
  <si>
    <t xml:space="preserve">tokens / inspection</t>
  </si>
  <si>
    <t xml:space="preserve">Repo: VIN image reading via Gemini (VIN scan routes). Small.</t>
  </si>
  <si>
    <t xml:space="preserve">Cloudflare R2 storage (src/lib/storage/r2.ts)</t>
  </si>
  <si>
    <t xml:space="preserve">Storage</t>
  </si>
  <si>
    <t xml:space="preserve">$ / GB-month</t>
  </si>
  <si>
    <t xml:space="preserve">List price. Egress is free on R2.</t>
  </si>
  <si>
    <t xml:space="preserve">Class A operations (writes)</t>
  </si>
  <si>
    <t xml:space="preserve">$ / 1M ops</t>
  </si>
  <si>
    <t xml:space="preserve">List price.</t>
  </si>
  <si>
    <t xml:space="preserve">Photos stored per consumer inspection</t>
  </si>
  <si>
    <t xml:space="preserve">Repo: 9 photo-required prompts + optional answer photos + OBD screenshots; 30 is an average assumption.</t>
  </si>
  <si>
    <t xml:space="preserve">Average stored photo size</t>
  </si>
  <si>
    <t xml:space="preserve">MB / photo</t>
  </si>
  <si>
    <t xml:space="preserve">Assumption — iPhone JPEG/HEIC after client-side compression.</t>
  </si>
  <si>
    <t xml:space="preserve">Generated artifacts per inspection</t>
  </si>
  <si>
    <t xml:space="preserve">MB / inspection</t>
  </si>
  <si>
    <t xml:space="preserve">Repo: two PDFs (standardized report, VSC determination) + derivatives.</t>
  </si>
  <si>
    <t xml:space="preserve">Retention of inspection media</t>
  </si>
  <si>
    <t xml:space="preserve">months</t>
  </si>
  <si>
    <t xml:space="preserve">Assumption — docs/compliance/retention-schedule.md ties inspection media to the account; a standalone period still needs approval.</t>
  </si>
  <si>
    <t xml:space="preserve">R2 write operations per inspection (lifetime)</t>
  </si>
  <si>
    <t xml:space="preserve">operations</t>
  </si>
  <si>
    <t xml:space="preserve">Assumption — uploads, derivatives, moves out of quarantine.</t>
  </si>
  <si>
    <t xml:space="preserve">Payments and e-signature</t>
  </si>
  <si>
    <t xml:space="preserve">Stripe card fee (percentage)</t>
  </si>
  <si>
    <t xml:space="preserve">% of transaction</t>
  </si>
  <si>
    <t xml:space="preserve">List price, US domestic cards (src/lib/stripe).</t>
  </si>
  <si>
    <t xml:space="preserve">Stripe card fee (fixed)</t>
  </si>
  <si>
    <t xml:space="preserve">$ / transaction</t>
  </si>
  <si>
    <t xml:space="preserve">E-signature cost per signed contract</t>
  </si>
  <si>
    <t xml:space="preserve">$ / contract</t>
  </si>
  <si>
    <t xml:space="preserve">Assumption — DocuSeal cloud plan spread over contracts (src/lib/docuseal). Verify plan at docuseal.com/pricing.</t>
  </si>
  <si>
    <t xml:space="preserve">Technician-performed consumer PPI (ppi_type general_tech / certified_tech; scope complete / dents_tires)</t>
  </si>
  <si>
    <t xml:space="preserve">Technician payout — general tech, complete scope</t>
  </si>
  <si>
    <t xml:space="preserve">$ / inspection</t>
  </si>
  <si>
    <t xml:space="preserve">Assumption — 1099 mobile inspector, ~75–90 min on site. Market comparables for mobile PPI labor are roughly $80–$120. THE dominant COGS line.</t>
  </si>
  <si>
    <t xml:space="preserve">Technician payout — certified tech, complete scope</t>
  </si>
  <si>
    <t xml:space="preserve">Assumption — ASE-certified / shop technician premium.</t>
  </si>
  <si>
    <t xml:space="preserve">Technician payout — dents &amp; tires scope</t>
  </si>
  <si>
    <t xml:space="preserve">Assumption — ~30 min scope (inspection_scope 'dents_tires', src/features/warranty/dents-tires-coverage.ts).</t>
  </si>
  <si>
    <t xml:space="preserve">Travel reimbursement per technician inspection</t>
  </si>
  <si>
    <t xml:space="preserve">Assumption — mileage/fuel for a mobile visit.</t>
  </si>
  <si>
    <t xml:space="preserve">OBD adapter cost</t>
  </si>
  <si>
    <t xml:space="preserve">$ / unit</t>
  </si>
  <si>
    <t xml:space="preserve">OBDLink CX retail (docs/OBD Tool.md).</t>
  </si>
  <si>
    <t xml:space="preserve">Inspections per adapter over its life</t>
  </si>
  <si>
    <t xml:space="preserve">inspections / unit</t>
  </si>
  <si>
    <t xml:space="preserve">Share of technician inspections on company-provided adapters</t>
  </si>
  <si>
    <t xml:space="preserve">%</t>
  </si>
  <si>
    <t xml:space="preserve">Assumption — the rest use the technician's own adapter.</t>
  </si>
  <si>
    <t xml:space="preserve">General liability / E&amp;O allocation</t>
  </si>
  <si>
    <t xml:space="preserve">$ / technician inspection</t>
  </si>
  <si>
    <t xml:space="preserve">Assumption — annual premium ÷ expected technician inspections.</t>
  </si>
  <si>
    <t xml:space="preserve">Human QA review allocation</t>
  </si>
  <si>
    <t xml:space="preserve">Assumption — ~10 min at $18/hr on the share of reports spot-checked.</t>
  </si>
  <si>
    <t xml:space="preserve">Refund / re-inspection allowance</t>
  </si>
  <si>
    <t xml:space="preserve">% of technician inspections</t>
  </si>
  <si>
    <t xml:space="preserve">Assumption — payout and travel are lost on a redo.</t>
  </si>
  <si>
    <t xml:space="preserve">Consumer PPI retail prices (nothing in the repo prices the inspection itself — all assumptions)</t>
  </si>
  <si>
    <t xml:space="preserve">Self-inspection with AI report (ppi_type personal)</t>
  </si>
  <si>
    <t xml:space="preserve">$</t>
  </si>
  <si>
    <t xml:space="preserve">Assumption — could be a free tier; COGS is infrastructure only.</t>
  </si>
  <si>
    <t xml:space="preserve">General technician PPI</t>
  </si>
  <si>
    <t xml:space="preserve">Assumption — mobile PPI market range ≈ $130–$200.</t>
  </si>
  <si>
    <t xml:space="preserve">Certified technician PPI</t>
  </si>
  <si>
    <t xml:space="preserve">Dents &amp; tires inspection</t>
  </si>
  <si>
    <t xml:space="preserve">Vehicle service contract (VSC) — plan prices are from the repo; economics are assumptions</t>
  </si>
  <si>
    <t xml:space="preserve">Underwriting structure (1 = licensed third-party obligor/administrator, 2 = self-obligated with reserve)</t>
  </si>
  <si>
    <t xml:space="preserve">1 or 2</t>
  </si>
  <si>
    <t xml:space="preserve">Assumption. docs/compliance/open-questions.md: obligor, administrator, licenses and financial security are unresolved per state and the paid flow is launch-blocked. Structure 1 is the realistic near-term path.</t>
  </si>
  <si>
    <t xml:space="preserve">Structure 1: wholesale contract cost from the obligor</t>
  </si>
  <si>
    <t xml:space="preserve">% of retail price</t>
  </si>
  <si>
    <t xml:space="preserve">Assumption — administrator/obligor price incl. claims reserve, admin and CLIP; typical dealer-channel VSC wholesale is ~45–60% of retail.</t>
  </si>
  <si>
    <t xml:space="preserve">Structure 2: expected claims</t>
  </si>
  <si>
    <t xml:space="preserve">Assumption — industry VSC loss ratios ≈ 50–70% of earned premium; deductibles are already reflected in a lower claims share.</t>
  </si>
  <si>
    <t xml:space="preserve">Structure 2: claims administration (TPA)</t>
  </si>
  <si>
    <t xml:space="preserve">Structure 2: contractual liability insurance (CLIP) / reinsurance</t>
  </si>
  <si>
    <t xml:space="preserve">Premium / sales tax remitted on contracts</t>
  </si>
  <si>
    <t xml:space="preserve">Assumption — state-specific; 0 until counsel confirms.</t>
  </si>
  <si>
    <t xml:space="preserve">Shop pre-estimate inspection (the Detect Auto alternative — shop staff perform it; no technician payout)</t>
  </si>
  <si>
    <t xml:space="preserve">Photos per shop inspection sent to the model</t>
  </si>
  <si>
    <t xml:space="preserve">Assumption — walk-around, all panels, wheels, interior, VIN.</t>
  </si>
  <si>
    <t xml:space="preserve">Model calls per shop inspection</t>
  </si>
  <si>
    <t xml:space="preserve">Assumption — damage/condition detection + estimate-ready summary.</t>
  </si>
  <si>
    <t xml:space="preserve">Text prompt per shop model call</t>
  </si>
  <si>
    <t xml:space="preserve">Structured output per shop model call</t>
  </si>
  <si>
    <t xml:space="preserve">Photos stored per shop inspection</t>
  </si>
  <si>
    <t xml:space="preserve">Retention of shop inspection media</t>
  </si>
  <si>
    <t xml:space="preserve">Assumption — shop record; confirm contractually.</t>
  </si>
  <si>
    <t xml:space="preserve">Onboarding cost per shop</t>
  </si>
  <si>
    <t xml:space="preserve">$ / shop</t>
  </si>
  <si>
    <t xml:space="preserve">Assumption — 2–3 hours of setup/training time.</t>
  </si>
  <si>
    <t xml:space="preserve">Average shop lifetime</t>
  </si>
  <si>
    <t xml:space="preserve">Inspections per shop per month</t>
  </si>
  <si>
    <t xml:space="preserve">inspections</t>
  </si>
  <si>
    <t xml:space="preserve">Assumption — one bay doing ~6/day.</t>
  </si>
  <si>
    <t xml:space="preserve">Pricing option A: per inspection</t>
  </si>
  <si>
    <t xml:space="preserve">Assumption — set below the competitor's per-unit price; verify Detect Auto's current list price.</t>
  </si>
  <si>
    <t xml:space="preserve">Pricing option B: subscription per shop</t>
  </si>
  <si>
    <t xml:space="preserve">$ / shop / month</t>
  </si>
  <si>
    <t xml:space="preserve">Assumption — unlimited inspections.</t>
  </si>
  <si>
    <t xml:space="preserve">Competitor reference price (Detect Auto) per inspection</t>
  </si>
  <si>
    <t xml:space="preserve">PLACEHOLDER — fill from detectauto.com or a quote. Only used for the comparison row.</t>
  </si>
  <si>
    <t xml:space="preserve">Consumer pre-purchase inspection — COGS per inspection</t>
  </si>
  <si>
    <t xml:space="preserve">One column per delivery mode in the repo (ppi_type personal / general_tech / certified_tech, and the dents_tires scope). Prices are the assumptions on Inputs; everything else is a formula.</t>
  </si>
  <si>
    <t xml:space="preserve">Component ($ per inspection)</t>
  </si>
  <si>
    <t xml:space="preserve">Self-inspection
(personal)</t>
  </si>
  <si>
    <t xml:space="preserve">General tech
(complete)</t>
  </si>
  <si>
    <t xml:space="preserve">Certified tech
(complete)</t>
  </si>
  <si>
    <t xml:space="preserve">Tech — dents &amp; tires</t>
  </si>
  <si>
    <t xml:space="preserve">Technician payout</t>
  </si>
  <si>
    <t xml:space="preserve">Travel reimbursement</t>
  </si>
  <si>
    <t xml:space="preserve">OBD adapter amortisation (company-provided share)</t>
  </si>
  <si>
    <t xml:space="preserve">AI report + VSC determination (Gemini)</t>
  </si>
  <si>
    <t xml:space="preserve">Photo + PDF storage over retention (R2)</t>
  </si>
  <si>
    <t xml:space="preserve">Shared platform allocation (Supabase, Vercel, Apple, monitoring)</t>
  </si>
  <si>
    <t xml:space="preserve">Customer support</t>
  </si>
  <si>
    <t xml:space="preserve">Human QA review of the report</t>
  </si>
  <si>
    <t xml:space="preserve">Liability / E&amp;O allocation</t>
  </si>
  <si>
    <t xml:space="preserve">Payment processing (Stripe)</t>
  </si>
  <si>
    <t xml:space="preserve">Total COGS per inspection</t>
  </si>
  <si>
    <t xml:space="preserve">Retail price (Inputs)</t>
  </si>
  <si>
    <t xml:space="preserve">Gross profit per inspection</t>
  </si>
  <si>
    <t xml:space="preserve">of which: infrastructure only (AI + storage + hosting)</t>
  </si>
  <si>
    <t xml:space="preserve">Technician payout + travel as a share of COGS</t>
  </si>
  <si>
    <t xml:space="preserve">Helper: overhead excl. payout, travel, redo and payment (used by Summary sensitivity)</t>
  </si>
  <si>
    <t xml:space="preserve">Reading it: the self-inspection costs cents to deliver, so it can be free or a low-priced entry product. For technician-performed inspections the payout and travel are ~85–90% of COGS; AI, storage and hosting together are well under $1. Improving margin means routing density (travel), payout structure, or price — not infrastructure.</t>
  </si>
  <si>
    <t xml:space="preserve">Vehicle service contract (warranty) — COGS per contract</t>
  </si>
  <si>
    <t xml:space="preserve">Plan names, prices, terms and deductibles are exactly what src/features/warranty/actions.ts (buildPlansFromCoverage) offers. Underwriting cost follows the structure selected on Inputs: 1 = a licensed obligor sells PerfectPPI the contract at a wholesale price (PerfectPPI is the seller); 2 = PerfectPPI is the obligor and carries expected claims, claims administration and CLIP. Selling costs (commissions, marketing) are not COGS.</t>
  </si>
  <si>
    <t xml:space="preserve">Plan (repo)</t>
  </si>
  <si>
    <t xml:space="preserve">Eligibility</t>
  </si>
  <si>
    <t xml:space="preserve">Term (yrs)</t>
  </si>
  <si>
    <t xml:space="preserve">Term (mi)</t>
  </si>
  <si>
    <t xml:space="preserve">Deductible</t>
  </si>
  <si>
    <t xml:space="preserve">Retail price</t>
  </si>
  <si>
    <t xml:space="preserve">Structure 1:
wholesale cost</t>
  </si>
  <si>
    <t xml:space="preserve">Structure 2:
expected claims</t>
  </si>
  <si>
    <t xml:space="preserve">Structure 2:
claims admin</t>
  </si>
  <si>
    <t xml:space="preserve">Structure 2:
CLIP</t>
  </si>
  <si>
    <t xml:space="preserve">Underwriting COGS
(selected structure)</t>
  </si>
  <si>
    <t xml:space="preserve">E-signature</t>
  </si>
  <si>
    <t xml:space="preserve">Payment processing</t>
  </si>
  <si>
    <t xml:space="preserve">Premium / sales tax</t>
  </si>
  <si>
    <t xml:space="preserve">Total COGS</t>
  </si>
  <si>
    <t xml:space="preserve">Gross profit</t>
  </si>
  <si>
    <t xml:space="preserve">Basic Coverage</t>
  </si>
  <si>
    <t xml:space="preserve">full</t>
  </si>
  <si>
    <t xml:space="preserve">Standard Coverage</t>
  </si>
  <si>
    <t xml:space="preserve">Premium Coverage</t>
  </si>
  <si>
    <t xml:space="preserve">Conditional Coverage</t>
  </si>
  <si>
    <t xml:space="preserve">conditional</t>
  </si>
  <si>
    <t xml:space="preserve">Extended Conditional</t>
  </si>
  <si>
    <t xml:space="preserve">Source for columns A–F: src/features/warranty/actions.ts — Basic $599 (1 yr / 12k mi, $100 deductible), Standard $999 (2 yr / 24k, $75), Premium $1,499 (3 yr / 36k, $50); conditional-eligibility vehicles get Conditional $799 and Extended Conditional $1,399 ($100 deductible). Column B is informational.</t>
  </si>
  <si>
    <t xml:space="preserve">Cancellations: contracts cancel pro-rata with a matching pro-rata refund of the wholesale cost or claims reserve, so they are close to margin-neutral and are left out. Under structure 2 the cash for claims must be held in a reserve/escrow per state law — COGS here is the expected value, not the reserve requirement.</t>
  </si>
  <si>
    <t xml:space="preserve">Sensitivity — gross margin vs. wholesale cost share (structure 1)</t>
  </si>
  <si>
    <t xml:space="preserve">Wholesale % of retail</t>
  </si>
  <si>
    <t xml:space="preserve">Basic $599</t>
  </si>
  <si>
    <t xml:space="preserve">Standard $999</t>
  </si>
  <si>
    <t xml:space="preserve">Premium $1,499</t>
  </si>
  <si>
    <t xml:space="preserve">Sensitivity — gross margin vs. loss ratio (structure 2)</t>
  </si>
  <si>
    <t xml:space="preserve">Loss ratio (claims / retail)</t>
  </si>
  <si>
    <t xml:space="preserve">Shop pre-estimate inspection (Detect Auto alternative) — COGS per inspection and per shop-month</t>
  </si>
  <si>
    <t xml:space="preserve">The shop's own staff photograph the vehicle; PerfectPPI supplies the app, AI damage/condition detection, the estimate-ready report and storage. There is no technician payout, so COGS is almost entirely AI tokens, storage and shared platform cost. Two pricing options are shown side by side.</t>
  </si>
  <si>
    <t xml:space="preserve">Option A:
per-inspection billing</t>
  </si>
  <si>
    <t xml:space="preserve">Option B:
subscription per shop</t>
  </si>
  <si>
    <t xml:space="preserve">AI damage/condition detection + estimate-ready summary (Gemini)</t>
  </si>
  <si>
    <t xml:space="preserve">Photo + report storage over retention (R2)</t>
  </si>
  <si>
    <t xml:space="preserve">Shared platform allocation</t>
  </si>
  <si>
    <t xml:space="preserve">Shop onboarding amortised over shop lifetime</t>
  </si>
  <si>
    <t xml:space="preserve">Support</t>
  </si>
  <si>
    <t xml:space="preserve">Payment processing (one monthly Stripe charge per shop)</t>
  </si>
  <si>
    <t xml:space="preserve">Revenue per inspection</t>
  </si>
  <si>
    <t xml:space="preserve">Per shop per month</t>
  </si>
  <si>
    <t xml:space="preserve">Revenue per shop-month</t>
  </si>
  <si>
    <t xml:space="preserve">COGS per shop-month</t>
  </si>
  <si>
    <t xml:space="preserve">Gross profit per shop-month</t>
  </si>
  <si>
    <t xml:space="preserve">Competitor comparison (placeholder price on Inputs)</t>
  </si>
  <si>
    <t xml:space="preserve">Shop's monthly spend at the competitor's per-inspection price</t>
  </si>
  <si>
    <t xml:space="preserve">Shop's monthly saving with PerfectPPI</t>
  </si>
  <si>
    <t xml:space="preserve">Break-even inspections per shop-month (COGS-only, ignores fixed overhead)</t>
  </si>
  <si>
    <t xml:space="preserve">Reading it: at these inputs a shop inspection costs a few tens of cents to deliver, so either pricing model clears 90%+ gross margin. The real costs of this product are sales and onboarding (not COGS) and the accuracy of the detection model — if a Pro-class model or a second pass per photo is needed, multiply the AI line accordingly on Inputs. Per-inspection break-even for option A is 0 because every inspection is gross-margin positive; option B shows how many inspections a subscription must cover before COGS is paid.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</si>
</sst>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;&quot;($&quot;#,##0.00\);\-"/>
    <numFmt numFmtId="166" formatCode="0.0%;\(0.0%\);\-"/>
    <numFmt numFmtId="167" formatCode="\$#,##0;&quot;($&quot;#,##0\);\-"/>
    <numFmt numFmtId="168" formatCode="#,##0;\(#,##0\);\-"/>
    <numFmt numFmtId="169" formatCode="#,##0.00;\(#,##0.00\);\-"/>
    <numFmt numFmtId="170" formatCode="0.0000;\(0.0000\);\-"/>
    <numFmt numFmtId="171" formatCode="@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31.5" hidden="false" customHeight="true" outlineLevel="0" collapsed="false">
      <c r="A5" s="5" t="s">
        <v>8</v>
      </c>
      <c r="B5" s="6" t="n">
        <f aca="false">'PPI COGS'!B18</f>
        <v>19</v>
      </c>
      <c r="C5" s="6" t="n">
        <f aca="false">'PPI COGS'!B16</f>
        <v>1.94252805576923</v>
      </c>
      <c r="D5" s="7" t="n">
        <f aca="false">B5-C5</f>
        <v>17.0574719442308</v>
      </c>
      <c r="E5" s="8" t="n">
        <f aca="false">IF(B5=0,0,D5/B5)</f>
        <v>0.897761681275304</v>
      </c>
      <c r="F5" s="9" t="s">
        <v>9</v>
      </c>
    </row>
    <row r="6" customFormat="false" ht="31.5" hidden="false" customHeight="true" outlineLevel="0" collapsed="false">
      <c r="A6" s="5" t="s">
        <v>10</v>
      </c>
      <c r="B6" s="6" t="n">
        <f aca="false">'PPI COGS'!C18</f>
        <v>149</v>
      </c>
      <c r="C6" s="6" t="n">
        <f aca="false">'PPI COGS'!C16</f>
        <v>123.087528055769</v>
      </c>
      <c r="D6" s="7" t="n">
        <f aca="false">B6-C6</f>
        <v>25.9124719442308</v>
      </c>
      <c r="E6" s="8" t="n">
        <f aca="false">IF(B6=0,0,D6/B6)</f>
        <v>0.173909207679401</v>
      </c>
      <c r="F6" s="9" t="s">
        <v>11</v>
      </c>
    </row>
    <row r="7" customFormat="false" ht="31.5" hidden="false" customHeight="true" outlineLevel="0" collapsed="false">
      <c r="A7" s="5" t="s">
        <v>12</v>
      </c>
      <c r="B7" s="6" t="n">
        <f aca="false">'PPI COGS'!D18</f>
        <v>229</v>
      </c>
      <c r="C7" s="6" t="n">
        <f aca="false">'PPI COGS'!D16</f>
        <v>166.607528055769</v>
      </c>
      <c r="D7" s="7" t="n">
        <f aca="false">B7-C7</f>
        <v>62.3924719442308</v>
      </c>
      <c r="E7" s="8" t="n">
        <f aca="false">IF(B7=0,0,D7/B7)</f>
        <v>0.272456209363453</v>
      </c>
      <c r="F7" s="9" t="s">
        <v>13</v>
      </c>
    </row>
    <row r="8" customFormat="false" ht="31.5" hidden="false" customHeight="true" outlineLevel="0" collapsed="false">
      <c r="A8" s="5" t="s">
        <v>14</v>
      </c>
      <c r="B8" s="6" t="n">
        <f aca="false">'PPI COGS'!E18</f>
        <v>79</v>
      </c>
      <c r="C8" s="6" t="n">
        <f aca="false">'PPI COGS'!E16</f>
        <v>79.8575280557692</v>
      </c>
      <c r="D8" s="7" t="n">
        <f aca="false">B8-C8</f>
        <v>-0.857528055769237</v>
      </c>
      <c r="E8" s="8" t="n">
        <f aca="false">IF(B8=0,0,D8/B8)</f>
        <v>-0.0108547855160663</v>
      </c>
      <c r="F8" s="9" t="s">
        <v>15</v>
      </c>
    </row>
    <row r="9" customFormat="false" ht="31.5" hidden="false" customHeight="true" outlineLevel="0" collapsed="false">
      <c r="A9" s="5" t="s">
        <v>16</v>
      </c>
      <c r="B9" s="6" t="n">
        <f aca="false">'Warranty COGS'!F5</f>
        <v>599</v>
      </c>
      <c r="C9" s="6" t="n">
        <f aca="false">'Warranty COGS'!O5</f>
        <v>347.621</v>
      </c>
      <c r="D9" s="7" t="n">
        <f aca="false">B9-C9</f>
        <v>251.379</v>
      </c>
      <c r="E9" s="8" t="n">
        <f aca="false">IF(B9=0,0,D9/B9)</f>
        <v>0.419664440734558</v>
      </c>
      <c r="F9" s="9" t="s">
        <v>17</v>
      </c>
    </row>
    <row r="10" customFormat="false" ht="31.5" hidden="false" customHeight="true" outlineLevel="0" collapsed="false">
      <c r="A10" s="5" t="s">
        <v>18</v>
      </c>
      <c r="B10" s="6" t="n">
        <f aca="false">'Warranty COGS'!F6</f>
        <v>999</v>
      </c>
      <c r="C10" s="6" t="n">
        <f aca="false">'Warranty COGS'!O6</f>
        <v>579.221</v>
      </c>
      <c r="D10" s="7" t="n">
        <f aca="false">B10-C10</f>
        <v>419.779</v>
      </c>
      <c r="E10" s="8" t="n">
        <f aca="false">IF(B10=0,0,D10/B10)</f>
        <v>0.420199199199199</v>
      </c>
      <c r="F10" s="9" t="s">
        <v>19</v>
      </c>
    </row>
    <row r="11" customFormat="false" ht="31.5" hidden="false" customHeight="true" outlineLevel="0" collapsed="false">
      <c r="A11" s="5" t="s">
        <v>20</v>
      </c>
      <c r="B11" s="6" t="n">
        <f aca="false">'Warranty COGS'!F7</f>
        <v>1499</v>
      </c>
      <c r="C11" s="6" t="n">
        <f aca="false">'Warranty COGS'!O7</f>
        <v>868.721</v>
      </c>
      <c r="D11" s="7" t="n">
        <f aca="false">B11-C11</f>
        <v>630.279</v>
      </c>
      <c r="E11" s="8" t="n">
        <f aca="false">IF(B11=0,0,D11/B11)</f>
        <v>0.420466310873916</v>
      </c>
      <c r="F11" s="9" t="s">
        <v>19</v>
      </c>
    </row>
    <row r="12" customFormat="false" ht="31.5" hidden="false" customHeight="true" outlineLevel="0" collapsed="false">
      <c r="A12" s="5" t="s">
        <v>21</v>
      </c>
      <c r="B12" s="6" t="n">
        <f aca="false">B7+B10</f>
        <v>1228</v>
      </c>
      <c r="C12" s="6" t="n">
        <f aca="false">C7+C10</f>
        <v>745.828528055769</v>
      </c>
      <c r="D12" s="7" t="n">
        <f aca="false">B12-C12</f>
        <v>482.171471944231</v>
      </c>
      <c r="E12" s="8" t="n">
        <f aca="false">IF(B12=0,0,D12/B12)</f>
        <v>0.392647778456214</v>
      </c>
      <c r="F12" s="9" t="s">
        <v>22</v>
      </c>
    </row>
    <row r="13" customFormat="false" ht="31.5" hidden="false" customHeight="true" outlineLevel="0" collapsed="false">
      <c r="A13" s="5" t="s">
        <v>23</v>
      </c>
      <c r="B13" s="6" t="n">
        <f aca="false">'Shop Pre-Estimate COGS'!B13</f>
        <v>4</v>
      </c>
      <c r="C13" s="6" t="n">
        <f aca="false">'Shop Pre-Estimate COGS'!B11</f>
        <v>0.526713425213675</v>
      </c>
      <c r="D13" s="7" t="n">
        <f aca="false">B13-C13</f>
        <v>3.47328657478632</v>
      </c>
      <c r="E13" s="8" t="n">
        <f aca="false">IF(B13=0,0,D13/B13)</f>
        <v>0.868321643696581</v>
      </c>
      <c r="F13" s="9" t="s">
        <v>24</v>
      </c>
    </row>
    <row r="14" customFormat="false" ht="31.5" hidden="false" customHeight="true" outlineLevel="0" collapsed="false">
      <c r="A14" s="5" t="s">
        <v>25</v>
      </c>
      <c r="B14" s="6" t="n">
        <f aca="false">'Shop Pre-Estimate COGS'!C13</f>
        <v>2.49166666666667</v>
      </c>
      <c r="C14" s="6" t="n">
        <f aca="false">'Shop Pre-Estimate COGS'!C11</f>
        <v>0.482971758547009</v>
      </c>
      <c r="D14" s="7" t="n">
        <f aca="false">B14-C14</f>
        <v>2.00869490811966</v>
      </c>
      <c r="E14" s="8" t="n">
        <f aca="false">IF(B14=0,0,D14/B14)</f>
        <v>0.806165180516251</v>
      </c>
      <c r="F14" s="9" t="s">
        <v>26</v>
      </c>
    </row>
    <row r="16" customFormat="false" ht="15" hidden="false" customHeight="false" outlineLevel="0" collapsed="false">
      <c r="A16" s="10" t="s">
        <v>27</v>
      </c>
    </row>
    <row r="17" customFormat="false" ht="30" hidden="false" customHeight="true" outlineLevel="0" collapsed="false">
      <c r="A17" s="3" t="s">
        <v>28</v>
      </c>
      <c r="B17" s="11" t="n">
        <v>129</v>
      </c>
      <c r="C17" s="11" t="n">
        <v>149</v>
      </c>
      <c r="D17" s="11" t="n">
        <v>169</v>
      </c>
      <c r="E17" s="11" t="n">
        <v>199</v>
      </c>
      <c r="F17" s="11" t="n">
        <v>229</v>
      </c>
    </row>
    <row r="18" customFormat="false" ht="15" hidden="false" customHeight="false" outlineLevel="0" collapsed="false">
      <c r="A18" s="12" t="n">
        <v>80</v>
      </c>
      <c r="B18" s="13" t="n">
        <f aca="false">1-('PPI COGS'!C24+Inputs!$B$40+$A18+Inputs!$B$46*($A18+Inputs!$B$40)+B$17*Inputs!$B$32+Inputs!$B$33)/B$17</f>
        <v>0.170096681738223</v>
      </c>
      <c r="C18" s="13" t="n">
        <f aca="false">1-('PPI COGS'!C24+Inputs!$B$40+$A18+Inputs!$B$46*($A18+Inputs!$B$40)+C$17*Inputs!$B$32+Inputs!$B$33)/C$17</f>
        <v>0.277600482847186</v>
      </c>
      <c r="D18" s="13" t="n">
        <f aca="false">1-('PPI COGS'!C24+Inputs!$B$40+$A18+Inputs!$B$46*($A18+Inputs!$B$40)+D$17*Inputs!$B$32+Inputs!$B$33)/D$17</f>
        <v>0.359659597303141</v>
      </c>
      <c r="E18" s="13" t="n">
        <f aca="false">1-('PPI COGS'!C24+Inputs!$B$40+$A18+Inputs!$B$46*($A18+Inputs!$B$40)+E$17*Inputs!$B$32+Inputs!$B$33)/E$17</f>
        <v>0.451821467056436</v>
      </c>
      <c r="F18" s="13" t="n">
        <f aca="false">1-('PPI COGS'!C24+Inputs!$B$40+$A18+Inputs!$B$46*($A18+Inputs!$B$40)+F$17*Inputs!$B$32+Inputs!$B$33)/F$17</f>
        <v>0.519836122027209</v>
      </c>
    </row>
    <row r="19" customFormat="false" ht="15" hidden="false" customHeight="false" outlineLevel="0" collapsed="false">
      <c r="A19" s="12" t="n">
        <v>95</v>
      </c>
      <c r="B19" s="13" t="n">
        <f aca="false">1-('PPI COGS'!C24+Inputs!$B$40+$A19+Inputs!$B$46*($A19+Inputs!$B$40)+B$17*Inputs!$B$32+Inputs!$B$33)/B$17</f>
        <v>0.0503292398777581</v>
      </c>
      <c r="C19" s="13" t="n">
        <f aca="false">1-('PPI COGS'!C24+Inputs!$B$40+$A19+Inputs!$B$46*($A19+Inputs!$B$40)+C$17*Inputs!$B$32+Inputs!$B$33)/C$17</f>
        <v>0.173909207679401</v>
      </c>
      <c r="D19" s="13" t="n">
        <f aca="false">1-('PPI COGS'!C24+Inputs!$B$40+$A19+Inputs!$B$46*($A19+Inputs!$B$40)+D$17*Inputs!$B$32+Inputs!$B$33)/D$17</f>
        <v>0.268239478959946</v>
      </c>
      <c r="E19" s="13" t="n">
        <f aca="false">1-('PPI COGS'!C24+Inputs!$B$40+$A19+Inputs!$B$46*($A19+Inputs!$B$40)+E$17*Inputs!$B$32+Inputs!$B$33)/E$17</f>
        <v>0.374183276101662</v>
      </c>
      <c r="F19" s="13" t="n">
        <f aca="false">1-('PPI COGS'!C24+Inputs!$B$40+$A19+Inputs!$B$46*($A19+Inputs!$B$40)+F$17*Inputs!$B$32+Inputs!$B$33)/F$17</f>
        <v>0.452368873118912</v>
      </c>
    </row>
    <row r="20" customFormat="false" ht="15" hidden="false" customHeight="false" outlineLevel="0" collapsed="false">
      <c r="A20" s="12" t="n">
        <v>110</v>
      </c>
      <c r="B20" s="13" t="n">
        <f aca="false">1-('PPI COGS'!C24+Inputs!$B$40+$A20+Inputs!$B$46*($A20+Inputs!$B$40)+B$17*Inputs!$B$32+Inputs!$B$33)/B$17</f>
        <v>-0.0694382019827073</v>
      </c>
      <c r="C20" s="13" t="n">
        <f aca="false">1-('PPI COGS'!C24+Inputs!$B$40+$A20+Inputs!$B$46*($A20+Inputs!$B$40)+C$17*Inputs!$B$32+Inputs!$B$33)/C$17</f>
        <v>0.0702179325116159</v>
      </c>
      <c r="D20" s="13" t="n">
        <f aca="false">1-('PPI COGS'!C24+Inputs!$B$40+$A20+Inputs!$B$46*($A20+Inputs!$B$40)+D$17*Inputs!$B$32+Inputs!$B$33)/D$17</f>
        <v>0.17681936061675</v>
      </c>
      <c r="E20" s="13" t="n">
        <f aca="false">1-('PPI COGS'!C24+Inputs!$B$40+$A20+Inputs!$B$46*($A20+Inputs!$B$40)+E$17*Inputs!$B$32+Inputs!$B$33)/E$17</f>
        <v>0.296545085146888</v>
      </c>
      <c r="F20" s="13" t="n">
        <f aca="false">1-('PPI COGS'!C24+Inputs!$B$40+$A20+Inputs!$B$46*($A20+Inputs!$B$40)+F$17*Inputs!$B$32+Inputs!$B$33)/F$17</f>
        <v>0.384901624210615</v>
      </c>
    </row>
    <row r="21" customFormat="false" ht="15" hidden="false" customHeight="false" outlineLevel="0" collapsed="false">
      <c r="A21" s="12" t="n">
        <v>125</v>
      </c>
      <c r="B21" s="13" t="n">
        <f aca="false">1-('PPI COGS'!C24+Inputs!$B$40+$A21+Inputs!$B$46*($A21+Inputs!$B$40)+B$17*Inputs!$B$32+Inputs!$B$33)/B$17</f>
        <v>-0.189205643843172</v>
      </c>
      <c r="C21" s="13" t="n">
        <f aca="false">1-('PPI COGS'!C24+Inputs!$B$40+$A21+Inputs!$B$46*($A21+Inputs!$B$40)+C$17*Inputs!$B$32+Inputs!$B$33)/C$17</f>
        <v>-0.0334733426561693</v>
      </c>
      <c r="D21" s="13" t="n">
        <f aca="false">1-('PPI COGS'!C24+Inputs!$B$40+$A21+Inputs!$B$46*($A21+Inputs!$B$40)+D$17*Inputs!$B$32+Inputs!$B$33)/D$17</f>
        <v>0.0853992422735549</v>
      </c>
      <c r="E21" s="13" t="n">
        <f aca="false">1-('PPI COGS'!C24+Inputs!$B$40+$A21+Inputs!$B$46*($A21+Inputs!$B$40)+E$17*Inputs!$B$32+Inputs!$B$33)/E$17</f>
        <v>0.218906894192115</v>
      </c>
      <c r="F21" s="13" t="n">
        <f aca="false">1-('PPI COGS'!C24+Inputs!$B$40+$A21+Inputs!$B$46*($A21+Inputs!$B$40)+F$17*Inputs!$B$32+Inputs!$B$33)/F$17</f>
        <v>0.317434375302318</v>
      </c>
    </row>
    <row r="22" customFormat="false" ht="15" hidden="false" customHeight="false" outlineLevel="0" collapsed="false">
      <c r="A22" s="12" t="n">
        <v>140</v>
      </c>
      <c r="B22" s="13" t="n">
        <f aca="false">1-('PPI COGS'!C24+Inputs!$B$40+$A22+Inputs!$B$46*($A22+Inputs!$B$40)+B$17*Inputs!$B$32+Inputs!$B$33)/B$17</f>
        <v>-0.308973085703638</v>
      </c>
      <c r="C22" s="13" t="n">
        <f aca="false">1-('PPI COGS'!C24+Inputs!$B$40+$A22+Inputs!$B$46*($A22+Inputs!$B$40)+C$17*Inputs!$B$32+Inputs!$B$33)/C$17</f>
        <v>-0.137164617823955</v>
      </c>
      <c r="D22" s="13" t="n">
        <f aca="false">1-('PPI COGS'!C24+Inputs!$B$40+$A22+Inputs!$B$46*($A22+Inputs!$B$40)+D$17*Inputs!$B$32+Inputs!$B$33)/D$17</f>
        <v>-0.00602087606964052</v>
      </c>
      <c r="E22" s="13" t="n">
        <f aca="false">1-('PPI COGS'!C24+Inputs!$B$40+$A22+Inputs!$B$46*($A22+Inputs!$B$40)+E$17*Inputs!$B$32+Inputs!$B$33)/E$17</f>
        <v>0.141268703237341</v>
      </c>
      <c r="F22" s="13" t="n">
        <f aca="false">1-('PPI COGS'!C24+Inputs!$B$40+$A22+Inputs!$B$46*($A22+Inputs!$B$40)+F$17*Inputs!$B$32+Inputs!$B$33)/F$17</f>
        <v>0.249967126394021</v>
      </c>
    </row>
    <row r="24" customFormat="false" ht="43.5" hidden="false" customHeight="true" outlineLevel="0" collapsed="false">
      <c r="A24" s="14" t="s">
        <v>29</v>
      </c>
      <c r="B24" s="14"/>
      <c r="C24" s="14"/>
      <c r="D24" s="14"/>
      <c r="E24" s="14"/>
      <c r="F24" s="14"/>
    </row>
  </sheetData>
  <mergeCells count="2">
    <mergeCell ref="A2:F2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100"/>
  </cols>
  <sheetData>
    <row r="1" customFormat="false" ht="17.35" hidden="false" customHeight="false" outlineLevel="0" collapsed="false">
      <c r="A1" s="1" t="s">
        <v>30</v>
      </c>
    </row>
    <row r="2" customFormat="false" ht="42" hidden="false" customHeight="true" outlineLevel="0" collapsed="false">
      <c r="A2" s="14" t="s">
        <v>31</v>
      </c>
      <c r="B2" s="14"/>
      <c r="C2" s="14"/>
      <c r="D2" s="14"/>
    </row>
    <row r="4" customFormat="false" ht="15" hidden="false" customHeight="false" outlineLevel="0" collapsed="false">
      <c r="A4" s="15" t="s">
        <v>32</v>
      </c>
      <c r="B4" s="15" t="s">
        <v>33</v>
      </c>
      <c r="C4" s="15" t="s">
        <v>34</v>
      </c>
      <c r="D4" s="15" t="s">
        <v>35</v>
      </c>
    </row>
    <row r="5" customFormat="false" ht="15" hidden="false" customHeight="false" outlineLevel="0" collapsed="false">
      <c r="A5" s="16" t="s">
        <v>36</v>
      </c>
      <c r="B5" s="17" t="n">
        <v>200</v>
      </c>
      <c r="C5" s="16" t="s">
        <v>37</v>
      </c>
      <c r="D5" s="9" t="s">
        <v>38</v>
      </c>
    </row>
    <row r="6" customFormat="false" ht="15" hidden="false" customHeight="false" outlineLevel="0" collapsed="false">
      <c r="A6" s="16" t="s">
        <v>39</v>
      </c>
      <c r="B6" s="17" t="n">
        <v>2400</v>
      </c>
      <c r="C6" s="16" t="s">
        <v>37</v>
      </c>
      <c r="D6" s="9" t="s">
        <v>40</v>
      </c>
    </row>
    <row r="7" customFormat="false" ht="22.35" hidden="false" customHeight="false" outlineLevel="0" collapsed="false">
      <c r="A7" s="16" t="s">
        <v>41</v>
      </c>
      <c r="B7" s="18" t="n">
        <v>145</v>
      </c>
      <c r="C7" s="16" t="s">
        <v>42</v>
      </c>
      <c r="D7" s="9" t="s">
        <v>43</v>
      </c>
    </row>
    <row r="8" customFormat="false" ht="15" hidden="false" customHeight="false" outlineLevel="0" collapsed="false">
      <c r="A8" s="16" t="s">
        <v>44</v>
      </c>
      <c r="B8" s="18" t="n">
        <v>6</v>
      </c>
      <c r="C8" s="16" t="s">
        <v>45</v>
      </c>
      <c r="D8" s="9" t="s">
        <v>46</v>
      </c>
    </row>
    <row r="9" customFormat="false" ht="15" hidden="false" customHeight="false" outlineLevel="0" collapsed="false">
      <c r="A9" s="16" t="s">
        <v>47</v>
      </c>
      <c r="B9" s="19" t="n">
        <v>0.15</v>
      </c>
      <c r="C9" s="16" t="s">
        <v>48</v>
      </c>
      <c r="D9" s="9" t="s">
        <v>49</v>
      </c>
    </row>
    <row r="10" customFormat="false" ht="15" hidden="false" customHeight="false" outlineLevel="0" collapsed="false">
      <c r="A10" s="16" t="s">
        <v>50</v>
      </c>
      <c r="B10" s="19" t="n">
        <v>0.02</v>
      </c>
      <c r="C10" s="16" t="s">
        <v>48</v>
      </c>
      <c r="D10" s="9" t="s">
        <v>51</v>
      </c>
    </row>
    <row r="12" customFormat="false" ht="15" hidden="false" customHeight="false" outlineLevel="0" collapsed="false">
      <c r="A12" s="15" t="s">
        <v>52</v>
      </c>
      <c r="B12" s="15" t="s">
        <v>33</v>
      </c>
      <c r="C12" s="15" t="s">
        <v>34</v>
      </c>
      <c r="D12" s="15" t="s">
        <v>35</v>
      </c>
    </row>
    <row r="13" customFormat="false" ht="15" hidden="false" customHeight="false" outlineLevel="0" collapsed="false">
      <c r="A13" s="16" t="s">
        <v>53</v>
      </c>
      <c r="B13" s="19" t="n">
        <v>0.3</v>
      </c>
      <c r="C13" s="16" t="s">
        <v>54</v>
      </c>
      <c r="D13" s="9" t="s">
        <v>55</v>
      </c>
    </row>
    <row r="14" customFormat="false" ht="15" hidden="false" customHeight="false" outlineLevel="0" collapsed="false">
      <c r="A14" s="16" t="s">
        <v>56</v>
      </c>
      <c r="B14" s="19" t="n">
        <v>2.5</v>
      </c>
      <c r="C14" s="16" t="s">
        <v>54</v>
      </c>
      <c r="D14" s="9" t="s">
        <v>57</v>
      </c>
    </row>
    <row r="15" customFormat="false" ht="22.35" hidden="false" customHeight="false" outlineLevel="0" collapsed="false">
      <c r="A15" s="16" t="s">
        <v>58</v>
      </c>
      <c r="B15" s="20" t="n">
        <v>6192</v>
      </c>
      <c r="C15" s="16" t="s">
        <v>59</v>
      </c>
      <c r="D15" s="9" t="s">
        <v>60</v>
      </c>
    </row>
    <row r="16" customFormat="false" ht="15" hidden="false" customHeight="false" outlineLevel="0" collapsed="false">
      <c r="A16" s="16" t="s">
        <v>61</v>
      </c>
      <c r="B16" s="20" t="n">
        <v>16</v>
      </c>
      <c r="C16" s="16" t="s">
        <v>62</v>
      </c>
      <c r="D16" s="9" t="s">
        <v>63</v>
      </c>
    </row>
    <row r="17" customFormat="false" ht="22.35" hidden="false" customHeight="false" outlineLevel="0" collapsed="false">
      <c r="A17" s="16" t="s">
        <v>64</v>
      </c>
      <c r="B17" s="20" t="n">
        <v>9000</v>
      </c>
      <c r="C17" s="16" t="s">
        <v>65</v>
      </c>
      <c r="D17" s="9" t="s">
        <v>66</v>
      </c>
    </row>
    <row r="18" customFormat="false" ht="15" hidden="false" customHeight="false" outlineLevel="0" collapsed="false">
      <c r="A18" s="16" t="s">
        <v>67</v>
      </c>
      <c r="B18" s="20" t="n">
        <v>4000</v>
      </c>
      <c r="C18" s="16" t="s">
        <v>65</v>
      </c>
      <c r="D18" s="9" t="s">
        <v>68</v>
      </c>
    </row>
    <row r="19" customFormat="false" ht="22.35" hidden="false" customHeight="false" outlineLevel="0" collapsed="false">
      <c r="A19" s="16" t="s">
        <v>69</v>
      </c>
      <c r="B19" s="20" t="n">
        <v>2</v>
      </c>
      <c r="C19" s="16" t="s">
        <v>70</v>
      </c>
      <c r="D19" s="9" t="s">
        <v>71</v>
      </c>
    </row>
    <row r="20" customFormat="false" ht="15" hidden="false" customHeight="false" outlineLevel="0" collapsed="false">
      <c r="A20" s="16" t="s">
        <v>72</v>
      </c>
      <c r="B20" s="20" t="n">
        <v>2000</v>
      </c>
      <c r="C20" s="16" t="s">
        <v>73</v>
      </c>
      <c r="D20" s="9" t="s">
        <v>74</v>
      </c>
    </row>
    <row r="22" customFormat="false" ht="15" hidden="false" customHeight="false" outlineLevel="0" collapsed="false">
      <c r="A22" s="15" t="s">
        <v>75</v>
      </c>
      <c r="B22" s="15" t="s">
        <v>33</v>
      </c>
      <c r="C22" s="15" t="s">
        <v>34</v>
      </c>
      <c r="D22" s="15" t="s">
        <v>35</v>
      </c>
    </row>
    <row r="23" customFormat="false" ht="15" hidden="false" customHeight="false" outlineLevel="0" collapsed="false">
      <c r="A23" s="16" t="s">
        <v>76</v>
      </c>
      <c r="B23" s="21" t="n">
        <v>0.015</v>
      </c>
      <c r="C23" s="16" t="s">
        <v>77</v>
      </c>
      <c r="D23" s="9" t="s">
        <v>78</v>
      </c>
    </row>
    <row r="24" customFormat="false" ht="15" hidden="false" customHeight="false" outlineLevel="0" collapsed="false">
      <c r="A24" s="16" t="s">
        <v>79</v>
      </c>
      <c r="B24" s="19" t="n">
        <v>4.5</v>
      </c>
      <c r="C24" s="16" t="s">
        <v>80</v>
      </c>
      <c r="D24" s="9" t="s">
        <v>81</v>
      </c>
    </row>
    <row r="25" customFormat="false" ht="15" hidden="false" customHeight="false" outlineLevel="0" collapsed="false">
      <c r="A25" s="16" t="s">
        <v>82</v>
      </c>
      <c r="B25" s="20" t="n">
        <v>30</v>
      </c>
      <c r="C25" s="16" t="s">
        <v>62</v>
      </c>
      <c r="D25" s="9" t="s">
        <v>83</v>
      </c>
    </row>
    <row r="26" customFormat="false" ht="15" hidden="false" customHeight="false" outlineLevel="0" collapsed="false">
      <c r="A26" s="16" t="s">
        <v>84</v>
      </c>
      <c r="B26" s="19" t="n">
        <v>3</v>
      </c>
      <c r="C26" s="16" t="s">
        <v>85</v>
      </c>
      <c r="D26" s="9" t="s">
        <v>86</v>
      </c>
    </row>
    <row r="27" customFormat="false" ht="15" hidden="false" customHeight="false" outlineLevel="0" collapsed="false">
      <c r="A27" s="16" t="s">
        <v>87</v>
      </c>
      <c r="B27" s="19" t="n">
        <v>2</v>
      </c>
      <c r="C27" s="16" t="s">
        <v>88</v>
      </c>
      <c r="D27" s="9" t="s">
        <v>89</v>
      </c>
    </row>
    <row r="28" customFormat="false" ht="15" hidden="false" customHeight="false" outlineLevel="0" collapsed="false">
      <c r="A28" s="16" t="s">
        <v>90</v>
      </c>
      <c r="B28" s="20" t="n">
        <v>36</v>
      </c>
      <c r="C28" s="16" t="s">
        <v>91</v>
      </c>
      <c r="D28" s="9" t="s">
        <v>92</v>
      </c>
    </row>
    <row r="29" customFormat="false" ht="15" hidden="false" customHeight="false" outlineLevel="0" collapsed="false">
      <c r="A29" s="16" t="s">
        <v>93</v>
      </c>
      <c r="B29" s="20" t="n">
        <v>400</v>
      </c>
      <c r="C29" s="16" t="s">
        <v>94</v>
      </c>
      <c r="D29" s="9" t="s">
        <v>95</v>
      </c>
    </row>
    <row r="31" customFormat="false" ht="15" hidden="false" customHeight="false" outlineLevel="0" collapsed="false">
      <c r="A31" s="15" t="s">
        <v>96</v>
      </c>
      <c r="B31" s="15" t="s">
        <v>33</v>
      </c>
      <c r="C31" s="15" t="s">
        <v>34</v>
      </c>
      <c r="D31" s="15" t="s">
        <v>35</v>
      </c>
    </row>
    <row r="32" customFormat="false" ht="15" hidden="false" customHeight="false" outlineLevel="0" collapsed="false">
      <c r="A32" s="16" t="s">
        <v>97</v>
      </c>
      <c r="B32" s="22" t="n">
        <v>0.029</v>
      </c>
      <c r="C32" s="16" t="s">
        <v>98</v>
      </c>
      <c r="D32" s="9" t="s">
        <v>99</v>
      </c>
    </row>
    <row r="33" customFormat="false" ht="15" hidden="false" customHeight="false" outlineLevel="0" collapsed="false">
      <c r="A33" s="16" t="s">
        <v>100</v>
      </c>
      <c r="B33" s="18" t="n">
        <v>0.3</v>
      </c>
      <c r="C33" s="16" t="s">
        <v>101</v>
      </c>
      <c r="D33" s="9" t="s">
        <v>81</v>
      </c>
    </row>
    <row r="34" customFormat="false" ht="15" hidden="false" customHeight="false" outlineLevel="0" collapsed="false">
      <c r="A34" s="16" t="s">
        <v>102</v>
      </c>
      <c r="B34" s="18" t="n">
        <v>0.5</v>
      </c>
      <c r="C34" s="16" t="s">
        <v>103</v>
      </c>
      <c r="D34" s="9" t="s">
        <v>104</v>
      </c>
    </row>
    <row r="36" customFormat="false" ht="15" hidden="false" customHeight="false" outlineLevel="0" collapsed="false">
      <c r="A36" s="15" t="s">
        <v>105</v>
      </c>
      <c r="B36" s="15" t="s">
        <v>33</v>
      </c>
      <c r="C36" s="15" t="s">
        <v>34</v>
      </c>
      <c r="D36" s="15" t="s">
        <v>35</v>
      </c>
    </row>
    <row r="37" customFormat="false" ht="22.35" hidden="false" customHeight="false" outlineLevel="0" collapsed="false">
      <c r="A37" s="16" t="s">
        <v>106</v>
      </c>
      <c r="B37" s="23" t="n">
        <v>95</v>
      </c>
      <c r="C37" s="16" t="s">
        <v>107</v>
      </c>
      <c r="D37" s="9" t="s">
        <v>108</v>
      </c>
    </row>
    <row r="38" customFormat="false" ht="15" hidden="false" customHeight="false" outlineLevel="0" collapsed="false">
      <c r="A38" s="16" t="s">
        <v>109</v>
      </c>
      <c r="B38" s="23" t="n">
        <v>135</v>
      </c>
      <c r="C38" s="16" t="s">
        <v>107</v>
      </c>
      <c r="D38" s="9" t="s">
        <v>110</v>
      </c>
    </row>
    <row r="39" customFormat="false" ht="15" hidden="false" customHeight="false" outlineLevel="0" collapsed="false">
      <c r="A39" s="16" t="s">
        <v>111</v>
      </c>
      <c r="B39" s="23" t="n">
        <v>55</v>
      </c>
      <c r="C39" s="16" t="s">
        <v>107</v>
      </c>
      <c r="D39" s="9" t="s">
        <v>112</v>
      </c>
    </row>
    <row r="40" customFormat="false" ht="15" hidden="false" customHeight="false" outlineLevel="0" collapsed="false">
      <c r="A40" s="16" t="s">
        <v>113</v>
      </c>
      <c r="B40" s="18" t="n">
        <v>12</v>
      </c>
      <c r="C40" s="16" t="s">
        <v>107</v>
      </c>
      <c r="D40" s="9" t="s">
        <v>114</v>
      </c>
    </row>
    <row r="41" customFormat="false" ht="15" hidden="false" customHeight="false" outlineLevel="0" collapsed="false">
      <c r="A41" s="16" t="s">
        <v>115</v>
      </c>
      <c r="B41" s="18" t="n">
        <v>99</v>
      </c>
      <c r="C41" s="16" t="s">
        <v>116</v>
      </c>
      <c r="D41" s="9" t="s">
        <v>117</v>
      </c>
    </row>
    <row r="42" customFormat="false" ht="15" hidden="false" customHeight="false" outlineLevel="0" collapsed="false">
      <c r="A42" s="16" t="s">
        <v>118</v>
      </c>
      <c r="B42" s="20" t="n">
        <v>300</v>
      </c>
      <c r="C42" s="16" t="s">
        <v>119</v>
      </c>
      <c r="D42" s="9" t="s">
        <v>49</v>
      </c>
    </row>
    <row r="43" customFormat="false" ht="15" hidden="false" customHeight="false" outlineLevel="0" collapsed="false">
      <c r="A43" s="16" t="s">
        <v>120</v>
      </c>
      <c r="B43" s="22" t="n">
        <v>0.5</v>
      </c>
      <c r="C43" s="16" t="s">
        <v>121</v>
      </c>
      <c r="D43" s="9" t="s">
        <v>122</v>
      </c>
    </row>
    <row r="44" customFormat="false" ht="15" hidden="false" customHeight="false" outlineLevel="0" collapsed="false">
      <c r="A44" s="16" t="s">
        <v>123</v>
      </c>
      <c r="B44" s="23" t="n">
        <v>4</v>
      </c>
      <c r="C44" s="16" t="s">
        <v>124</v>
      </c>
      <c r="D44" s="9" t="s">
        <v>125</v>
      </c>
    </row>
    <row r="45" customFormat="false" ht="15" hidden="false" customHeight="false" outlineLevel="0" collapsed="false">
      <c r="A45" s="16" t="s">
        <v>126</v>
      </c>
      <c r="B45" s="18" t="n">
        <v>3</v>
      </c>
      <c r="C45" s="16" t="s">
        <v>124</v>
      </c>
      <c r="D45" s="9" t="s">
        <v>127</v>
      </c>
    </row>
    <row r="46" customFormat="false" ht="15" hidden="false" customHeight="false" outlineLevel="0" collapsed="false">
      <c r="A46" s="16" t="s">
        <v>128</v>
      </c>
      <c r="B46" s="22" t="n">
        <v>0.03</v>
      </c>
      <c r="C46" s="16" t="s">
        <v>129</v>
      </c>
      <c r="D46" s="9" t="s">
        <v>130</v>
      </c>
    </row>
    <row r="48" customFormat="false" ht="15" hidden="false" customHeight="false" outlineLevel="0" collapsed="false">
      <c r="A48" s="15" t="s">
        <v>131</v>
      </c>
      <c r="B48" s="15" t="s">
        <v>33</v>
      </c>
      <c r="C48" s="15" t="s">
        <v>34</v>
      </c>
      <c r="D48" s="15" t="s">
        <v>35</v>
      </c>
    </row>
    <row r="49" customFormat="false" ht="15" hidden="false" customHeight="false" outlineLevel="0" collapsed="false">
      <c r="A49" s="16" t="s">
        <v>132</v>
      </c>
      <c r="B49" s="23" t="n">
        <v>19</v>
      </c>
      <c r="C49" s="16" t="s">
        <v>133</v>
      </c>
      <c r="D49" s="9" t="s">
        <v>134</v>
      </c>
    </row>
    <row r="50" customFormat="false" ht="15" hidden="false" customHeight="false" outlineLevel="0" collapsed="false">
      <c r="A50" s="16" t="s">
        <v>135</v>
      </c>
      <c r="B50" s="23" t="n">
        <v>149</v>
      </c>
      <c r="C50" s="16" t="s">
        <v>133</v>
      </c>
      <c r="D50" s="9" t="s">
        <v>136</v>
      </c>
    </row>
    <row r="51" customFormat="false" ht="15" hidden="false" customHeight="false" outlineLevel="0" collapsed="false">
      <c r="A51" s="16" t="s">
        <v>137</v>
      </c>
      <c r="B51" s="23" t="n">
        <v>229</v>
      </c>
      <c r="C51" s="16" t="s">
        <v>133</v>
      </c>
      <c r="D51" s="9" t="s">
        <v>49</v>
      </c>
    </row>
    <row r="52" customFormat="false" ht="15" hidden="false" customHeight="false" outlineLevel="0" collapsed="false">
      <c r="A52" s="16" t="s">
        <v>138</v>
      </c>
      <c r="B52" s="23" t="n">
        <v>79</v>
      </c>
      <c r="C52" s="16" t="s">
        <v>133</v>
      </c>
      <c r="D52" s="9" t="s">
        <v>49</v>
      </c>
    </row>
    <row r="54" customFormat="false" ht="15" hidden="false" customHeight="false" outlineLevel="0" collapsed="false">
      <c r="A54" s="15" t="s">
        <v>139</v>
      </c>
      <c r="B54" s="15" t="s">
        <v>33</v>
      </c>
      <c r="C54" s="15" t="s">
        <v>34</v>
      </c>
      <c r="D54" s="15" t="s">
        <v>35</v>
      </c>
    </row>
    <row r="55" customFormat="false" ht="22.35" hidden="false" customHeight="false" outlineLevel="0" collapsed="false">
      <c r="A55" s="16" t="s">
        <v>140</v>
      </c>
      <c r="B55" s="17" t="n">
        <v>1</v>
      </c>
      <c r="C55" s="16" t="s">
        <v>141</v>
      </c>
      <c r="D55" s="9" t="s">
        <v>142</v>
      </c>
    </row>
    <row r="56" customFormat="false" ht="22.35" hidden="false" customHeight="false" outlineLevel="0" collapsed="false">
      <c r="A56" s="16" t="s">
        <v>143</v>
      </c>
      <c r="B56" s="24" t="n">
        <v>0.55</v>
      </c>
      <c r="C56" s="16" t="s">
        <v>144</v>
      </c>
      <c r="D56" s="9" t="s">
        <v>145</v>
      </c>
    </row>
    <row r="57" customFormat="false" ht="15" hidden="false" customHeight="false" outlineLevel="0" collapsed="false">
      <c r="A57" s="16" t="s">
        <v>146</v>
      </c>
      <c r="B57" s="24" t="n">
        <v>0.6</v>
      </c>
      <c r="C57" s="16" t="s">
        <v>144</v>
      </c>
      <c r="D57" s="9" t="s">
        <v>147</v>
      </c>
    </row>
    <row r="58" customFormat="false" ht="15" hidden="false" customHeight="false" outlineLevel="0" collapsed="false">
      <c r="A58" s="16" t="s">
        <v>148</v>
      </c>
      <c r="B58" s="18" t="n">
        <v>35</v>
      </c>
      <c r="C58" s="16" t="s">
        <v>103</v>
      </c>
      <c r="D58" s="9" t="s">
        <v>49</v>
      </c>
    </row>
    <row r="59" customFormat="false" ht="15" hidden="false" customHeight="false" outlineLevel="0" collapsed="false">
      <c r="A59" s="16" t="s">
        <v>149</v>
      </c>
      <c r="B59" s="22" t="n">
        <v>0.08</v>
      </c>
      <c r="C59" s="16" t="s">
        <v>144</v>
      </c>
      <c r="D59" s="9" t="s">
        <v>49</v>
      </c>
    </row>
    <row r="60" customFormat="false" ht="15" hidden="false" customHeight="false" outlineLevel="0" collapsed="false">
      <c r="A60" s="16" t="s">
        <v>150</v>
      </c>
      <c r="B60" s="22" t="n">
        <v>0</v>
      </c>
      <c r="C60" s="16" t="s">
        <v>144</v>
      </c>
      <c r="D60" s="9" t="s">
        <v>151</v>
      </c>
    </row>
    <row r="62" customFormat="false" ht="15" hidden="false" customHeight="false" outlineLevel="0" collapsed="false">
      <c r="A62" s="15" t="s">
        <v>152</v>
      </c>
      <c r="B62" s="15" t="s">
        <v>33</v>
      </c>
      <c r="C62" s="15" t="s">
        <v>34</v>
      </c>
      <c r="D62" s="15" t="s">
        <v>35</v>
      </c>
    </row>
    <row r="63" customFormat="false" ht="15" hidden="false" customHeight="false" outlineLevel="0" collapsed="false">
      <c r="A63" s="16" t="s">
        <v>153</v>
      </c>
      <c r="B63" s="20" t="n">
        <v>30</v>
      </c>
      <c r="C63" s="16" t="s">
        <v>62</v>
      </c>
      <c r="D63" s="9" t="s">
        <v>154</v>
      </c>
    </row>
    <row r="64" customFormat="false" ht="15" hidden="false" customHeight="false" outlineLevel="0" collapsed="false">
      <c r="A64" s="16" t="s">
        <v>155</v>
      </c>
      <c r="B64" s="20" t="n">
        <v>2</v>
      </c>
      <c r="C64" s="16" t="s">
        <v>70</v>
      </c>
      <c r="D64" s="9" t="s">
        <v>156</v>
      </c>
    </row>
    <row r="65" customFormat="false" ht="15" hidden="false" customHeight="false" outlineLevel="0" collapsed="false">
      <c r="A65" s="16" t="s">
        <v>157</v>
      </c>
      <c r="B65" s="20" t="n">
        <v>4000</v>
      </c>
      <c r="C65" s="16" t="s">
        <v>65</v>
      </c>
      <c r="D65" s="9" t="s">
        <v>49</v>
      </c>
    </row>
    <row r="66" customFormat="false" ht="15" hidden="false" customHeight="false" outlineLevel="0" collapsed="false">
      <c r="A66" s="16" t="s">
        <v>158</v>
      </c>
      <c r="B66" s="20" t="n">
        <v>3000</v>
      </c>
      <c r="C66" s="16" t="s">
        <v>65</v>
      </c>
      <c r="D66" s="9" t="s">
        <v>49</v>
      </c>
    </row>
    <row r="67" customFormat="false" ht="15" hidden="false" customHeight="false" outlineLevel="0" collapsed="false">
      <c r="A67" s="16" t="s">
        <v>159</v>
      </c>
      <c r="B67" s="20" t="n">
        <v>30</v>
      </c>
      <c r="C67" s="16" t="s">
        <v>62</v>
      </c>
      <c r="D67" s="9" t="s">
        <v>49</v>
      </c>
    </row>
    <row r="68" customFormat="false" ht="15" hidden="false" customHeight="false" outlineLevel="0" collapsed="false">
      <c r="A68" s="16" t="s">
        <v>160</v>
      </c>
      <c r="B68" s="20" t="n">
        <v>24</v>
      </c>
      <c r="C68" s="16" t="s">
        <v>91</v>
      </c>
      <c r="D68" s="9" t="s">
        <v>161</v>
      </c>
    </row>
    <row r="69" customFormat="false" ht="15" hidden="false" customHeight="false" outlineLevel="0" collapsed="false">
      <c r="A69" s="16" t="s">
        <v>162</v>
      </c>
      <c r="B69" s="18" t="n">
        <v>150</v>
      </c>
      <c r="C69" s="16" t="s">
        <v>163</v>
      </c>
      <c r="D69" s="9" t="s">
        <v>164</v>
      </c>
    </row>
    <row r="70" customFormat="false" ht="15" hidden="false" customHeight="false" outlineLevel="0" collapsed="false">
      <c r="A70" s="16" t="s">
        <v>165</v>
      </c>
      <c r="B70" s="20" t="n">
        <v>18</v>
      </c>
      <c r="C70" s="16" t="s">
        <v>91</v>
      </c>
      <c r="D70" s="9" t="s">
        <v>49</v>
      </c>
    </row>
    <row r="71" customFormat="false" ht="15" hidden="false" customHeight="false" outlineLevel="0" collapsed="false">
      <c r="A71" s="16" t="s">
        <v>166</v>
      </c>
      <c r="B71" s="17" t="n">
        <v>120</v>
      </c>
      <c r="C71" s="16" t="s">
        <v>167</v>
      </c>
      <c r="D71" s="9" t="s">
        <v>168</v>
      </c>
    </row>
    <row r="72" customFormat="false" ht="15" hidden="false" customHeight="false" outlineLevel="0" collapsed="false">
      <c r="A72" s="16" t="s">
        <v>169</v>
      </c>
      <c r="B72" s="23" t="n">
        <v>4</v>
      </c>
      <c r="C72" s="16" t="s">
        <v>107</v>
      </c>
      <c r="D72" s="9" t="s">
        <v>170</v>
      </c>
    </row>
    <row r="73" customFormat="false" ht="15" hidden="false" customHeight="false" outlineLevel="0" collapsed="false">
      <c r="A73" s="16" t="s">
        <v>171</v>
      </c>
      <c r="B73" s="23" t="n">
        <v>299</v>
      </c>
      <c r="C73" s="16" t="s">
        <v>172</v>
      </c>
      <c r="D73" s="9" t="s">
        <v>173</v>
      </c>
    </row>
    <row r="74" customFormat="false" ht="15" hidden="false" customHeight="false" outlineLevel="0" collapsed="false">
      <c r="A74" s="16" t="s">
        <v>174</v>
      </c>
      <c r="B74" s="23" t="n">
        <v>6</v>
      </c>
      <c r="C74" s="16" t="s">
        <v>107</v>
      </c>
      <c r="D74" s="9" t="s">
        <v>175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1" t="s">
        <v>176</v>
      </c>
    </row>
    <row r="2" customFormat="false" ht="30" hidden="false" customHeight="true" outlineLevel="0" collapsed="false">
      <c r="A2" s="2" t="s">
        <v>177</v>
      </c>
      <c r="B2" s="2"/>
      <c r="C2" s="2"/>
      <c r="D2" s="2"/>
      <c r="E2" s="2"/>
    </row>
    <row r="4" customFormat="false" ht="30" hidden="false" customHeight="true" outlineLevel="0" collapsed="false">
      <c r="A4" s="3" t="s">
        <v>178</v>
      </c>
      <c r="B4" s="4" t="s">
        <v>179</v>
      </c>
      <c r="C4" s="4" t="s">
        <v>180</v>
      </c>
      <c r="D4" s="4" t="s">
        <v>181</v>
      </c>
      <c r="E4" s="4" t="s">
        <v>182</v>
      </c>
    </row>
    <row r="5" customFormat="false" ht="15" hidden="false" customHeight="false" outlineLevel="0" collapsed="false">
      <c r="A5" s="5" t="s">
        <v>183</v>
      </c>
      <c r="B5" s="25" t="n">
        <v>0</v>
      </c>
      <c r="C5" s="6" t="n">
        <f aca="false">Inputs!$B$37</f>
        <v>95</v>
      </c>
      <c r="D5" s="6" t="n">
        <f aca="false">Inputs!$B$38</f>
        <v>135</v>
      </c>
      <c r="E5" s="6" t="n">
        <f aca="false">Inputs!$B$39</f>
        <v>55</v>
      </c>
    </row>
    <row r="6" customFormat="false" ht="15" hidden="false" customHeight="false" outlineLevel="0" collapsed="false">
      <c r="A6" s="5" t="s">
        <v>184</v>
      </c>
      <c r="B6" s="25" t="n">
        <v>0</v>
      </c>
      <c r="C6" s="6" t="n">
        <f aca="false">Inputs!$B$40</f>
        <v>12</v>
      </c>
      <c r="D6" s="6" t="n">
        <f aca="false">Inputs!$B$40</f>
        <v>12</v>
      </c>
      <c r="E6" s="6" t="n">
        <f aca="false">Inputs!$B$40</f>
        <v>12</v>
      </c>
    </row>
    <row r="7" customFormat="false" ht="15" hidden="false" customHeight="false" outlineLevel="0" collapsed="false">
      <c r="A7" s="5" t="s">
        <v>185</v>
      </c>
      <c r="B7" s="25" t="n">
        <v>0</v>
      </c>
      <c r="C7" s="6" t="n">
        <f aca="false">Inputs!$B$41/Inputs!$B$42*Inputs!$B$43</f>
        <v>0.165</v>
      </c>
      <c r="D7" s="6" t="n">
        <f aca="false">Inputs!$B$41/Inputs!$B$42*Inputs!$B$43</f>
        <v>0.165</v>
      </c>
      <c r="E7" s="6" t="n">
        <f aca="false">Inputs!$B$41/Inputs!$B$42*Inputs!$B$43</f>
        <v>0.165</v>
      </c>
    </row>
    <row r="8" customFormat="false" ht="15" hidden="false" customHeight="false" outlineLevel="0" collapsed="false">
      <c r="A8" s="5" t="s">
        <v>186</v>
      </c>
      <c r="B8" s="6" t="n">
        <f aca="false">Inputs!$B$19*((Inputs!$B$17+Inputs!$B$16*Inputs!$B$15)*Inputs!$B$13/1000000+Inputs!$B$18*Inputs!$B$14/1000000)+Inputs!$B$20*Inputs!$B$13/1000000</f>
        <v>0.0854432</v>
      </c>
      <c r="C8" s="6" t="n">
        <f aca="false">Inputs!$B$19*((Inputs!$B$17+Inputs!$B$16*Inputs!$B$15)*Inputs!$B$13/1000000+Inputs!$B$18*Inputs!$B$14/1000000)+Inputs!$B$20*Inputs!$B$13/1000000</f>
        <v>0.0854432</v>
      </c>
      <c r="D8" s="6" t="n">
        <f aca="false">Inputs!$B$19*((Inputs!$B$17+Inputs!$B$16*Inputs!$B$15)*Inputs!$B$13/1000000+Inputs!$B$18*Inputs!$B$14/1000000)+Inputs!$B$20*Inputs!$B$13/1000000</f>
        <v>0.0854432</v>
      </c>
      <c r="E8" s="6" t="n">
        <f aca="false">Inputs!$B$19*((Inputs!$B$17+Inputs!$B$16*Inputs!$B$15)*Inputs!$B$13/1000000+Inputs!$B$18*Inputs!$B$14/1000000)+Inputs!$B$20*Inputs!$B$13/1000000</f>
        <v>0.0854432</v>
      </c>
    </row>
    <row r="9" customFormat="false" ht="15" hidden="false" customHeight="false" outlineLevel="0" collapsed="false">
      <c r="A9" s="5" t="s">
        <v>187</v>
      </c>
      <c r="B9" s="25" t="n">
        <f aca="false">((Inputs!$B$25*Inputs!$B$26+Inputs!$B$27)/1024)*Inputs!$B$23*Inputs!$B$28+Inputs!$B$29/1000000*Inputs!$B$24</f>
        <v>0.050315625</v>
      </c>
      <c r="C9" s="25" t="n">
        <f aca="false">((Inputs!$B$25*Inputs!$B$26+Inputs!$B$27)/1024)*Inputs!$B$23*Inputs!$B$28+Inputs!$B$29/1000000*Inputs!$B$24</f>
        <v>0.050315625</v>
      </c>
      <c r="D9" s="25" t="n">
        <f aca="false">((Inputs!$B$25*Inputs!$B$26+Inputs!$B$27)/1024)*Inputs!$B$23*Inputs!$B$28+Inputs!$B$29/1000000*Inputs!$B$24</f>
        <v>0.050315625</v>
      </c>
      <c r="E9" s="25" t="n">
        <f aca="false">((Inputs!$B$25*Inputs!$B$26+Inputs!$B$27)/1024)*Inputs!$B$23*Inputs!$B$28+Inputs!$B$29/1000000*Inputs!$B$24</f>
        <v>0.050315625</v>
      </c>
    </row>
    <row r="10" customFormat="false" ht="15" hidden="false" customHeight="false" outlineLevel="0" collapsed="false">
      <c r="A10" s="5" t="s">
        <v>188</v>
      </c>
      <c r="B10" s="6" t="n">
        <f aca="false">Inputs!$B$7/(Inputs!$B$5+Inputs!$B$6)</f>
        <v>0.0557692307692308</v>
      </c>
      <c r="C10" s="6" t="n">
        <f aca="false">Inputs!$B$7/(Inputs!$B$5+Inputs!$B$6)</f>
        <v>0.0557692307692308</v>
      </c>
      <c r="D10" s="6" t="n">
        <f aca="false">Inputs!$B$7/(Inputs!$B$5+Inputs!$B$6)</f>
        <v>0.0557692307692308</v>
      </c>
      <c r="E10" s="6" t="n">
        <f aca="false">Inputs!$B$7/(Inputs!$B$5+Inputs!$B$6)</f>
        <v>0.0557692307692308</v>
      </c>
    </row>
    <row r="11" customFormat="false" ht="15" hidden="false" customHeight="false" outlineLevel="0" collapsed="false">
      <c r="A11" s="5" t="s">
        <v>189</v>
      </c>
      <c r="B11" s="6" t="n">
        <f aca="false">Inputs!$B$9*Inputs!$B$8</f>
        <v>0.9</v>
      </c>
      <c r="C11" s="6" t="n">
        <f aca="false">Inputs!$B$9*Inputs!$B$8</f>
        <v>0.9</v>
      </c>
      <c r="D11" s="6" t="n">
        <f aca="false">Inputs!$B$9*Inputs!$B$8</f>
        <v>0.9</v>
      </c>
      <c r="E11" s="6" t="n">
        <f aca="false">Inputs!$B$9*Inputs!$B$8</f>
        <v>0.9</v>
      </c>
    </row>
    <row r="12" customFormat="false" ht="15" hidden="false" customHeight="false" outlineLevel="0" collapsed="false">
      <c r="A12" s="5" t="s">
        <v>190</v>
      </c>
      <c r="B12" s="25" t="n">
        <v>0</v>
      </c>
      <c r="C12" s="6" t="n">
        <f aca="false">Inputs!$B$45</f>
        <v>3</v>
      </c>
      <c r="D12" s="6" t="n">
        <f aca="false">Inputs!$B$45</f>
        <v>3</v>
      </c>
      <c r="E12" s="6" t="n">
        <f aca="false">Inputs!$B$45</f>
        <v>3</v>
      </c>
    </row>
    <row r="13" customFormat="false" ht="15" hidden="false" customHeight="false" outlineLevel="0" collapsed="false">
      <c r="A13" s="5" t="s">
        <v>191</v>
      </c>
      <c r="B13" s="25" t="n">
        <v>0</v>
      </c>
      <c r="C13" s="6" t="n">
        <f aca="false">Inputs!$B$44</f>
        <v>4</v>
      </c>
      <c r="D13" s="6" t="n">
        <f aca="false">Inputs!$B$44</f>
        <v>4</v>
      </c>
      <c r="E13" s="6" t="n">
        <f aca="false">Inputs!$B$44</f>
        <v>4</v>
      </c>
    </row>
    <row r="14" customFormat="false" ht="15" hidden="false" customHeight="false" outlineLevel="0" collapsed="false">
      <c r="A14" s="5" t="s">
        <v>128</v>
      </c>
      <c r="B14" s="25" t="n">
        <v>0</v>
      </c>
      <c r="C14" s="6" t="n">
        <f aca="false">Inputs!$B$46*(C5+C6)</f>
        <v>3.21</v>
      </c>
      <c r="D14" s="6" t="n">
        <f aca="false">Inputs!$B$46*(D5+D6)</f>
        <v>4.41</v>
      </c>
      <c r="E14" s="6" t="n">
        <f aca="false">Inputs!$B$46*(E5+E6)</f>
        <v>2.01</v>
      </c>
    </row>
    <row r="15" customFormat="false" ht="15" hidden="false" customHeight="false" outlineLevel="0" collapsed="false">
      <c r="A15" s="5" t="s">
        <v>192</v>
      </c>
      <c r="B15" s="25" t="n">
        <f aca="false">IF(Inputs!$B$49&gt;0,Inputs!$B$49*Inputs!$B$32+Inputs!$B$33,0)</f>
        <v>0.851</v>
      </c>
      <c r="C15" s="25" t="n">
        <f aca="false">IF(Inputs!$B$50&gt;0,Inputs!$B$50*Inputs!$B$32+Inputs!$B$33,0)</f>
        <v>4.621</v>
      </c>
      <c r="D15" s="25" t="n">
        <f aca="false">IF(Inputs!$B$51&gt;0,Inputs!$B$51*Inputs!$B$32+Inputs!$B$33,0)</f>
        <v>6.941</v>
      </c>
      <c r="E15" s="25" t="n">
        <f aca="false">IF(Inputs!$B$52&gt;0,Inputs!$B$52*Inputs!$B$32+Inputs!$B$33,0)</f>
        <v>2.591</v>
      </c>
    </row>
    <row r="16" customFormat="false" ht="15" hidden="false" customHeight="false" outlineLevel="0" collapsed="false">
      <c r="A16" s="26" t="s">
        <v>193</v>
      </c>
      <c r="B16" s="27" t="n">
        <f aca="false">SUM(B5:B15)</f>
        <v>1.94252805576923</v>
      </c>
      <c r="C16" s="27" t="n">
        <f aca="false">SUM(C5:C15)</f>
        <v>123.087528055769</v>
      </c>
      <c r="D16" s="27" t="n">
        <f aca="false">SUM(D5:D15)</f>
        <v>166.607528055769</v>
      </c>
      <c r="E16" s="27" t="n">
        <f aca="false">SUM(E5:E15)</f>
        <v>79.8575280557692</v>
      </c>
    </row>
    <row r="18" customFormat="false" ht="15" hidden="false" customHeight="false" outlineLevel="0" collapsed="false">
      <c r="A18" s="28" t="s">
        <v>194</v>
      </c>
      <c r="B18" s="29" t="n">
        <f aca="false">Inputs!$B$49</f>
        <v>19</v>
      </c>
      <c r="C18" s="29" t="n">
        <f aca="false">Inputs!$B$50</f>
        <v>149</v>
      </c>
      <c r="D18" s="29" t="n">
        <f aca="false">Inputs!$B$51</f>
        <v>229</v>
      </c>
      <c r="E18" s="29" t="n">
        <f aca="false">Inputs!$B$52</f>
        <v>79</v>
      </c>
    </row>
    <row r="19" customFormat="false" ht="15" hidden="false" customHeight="false" outlineLevel="0" collapsed="false">
      <c r="A19" s="28" t="s">
        <v>195</v>
      </c>
      <c r="B19" s="7" t="n">
        <f aca="false">B18-B16</f>
        <v>17.0574719442308</v>
      </c>
      <c r="C19" s="7" t="n">
        <f aca="false">C18-C16</f>
        <v>25.9124719442308</v>
      </c>
      <c r="D19" s="7" t="n">
        <f aca="false">D18-D16</f>
        <v>62.3924719442308</v>
      </c>
      <c r="E19" s="7" t="n">
        <f aca="false">E18-E16</f>
        <v>-0.857528055769237</v>
      </c>
    </row>
    <row r="20" customFormat="false" ht="15" hidden="false" customHeight="false" outlineLevel="0" collapsed="false">
      <c r="A20" s="28" t="s">
        <v>6</v>
      </c>
      <c r="B20" s="8" t="n">
        <f aca="false">IF(B18=0,0,B19/B18)</f>
        <v>0.897761681275304</v>
      </c>
      <c r="C20" s="8" t="n">
        <f aca="false">IF(C18=0,0,C19/C18)</f>
        <v>0.173909207679401</v>
      </c>
      <c r="D20" s="8" t="n">
        <f aca="false">IF(D18=0,0,D19/D18)</f>
        <v>0.272456209363453</v>
      </c>
      <c r="E20" s="8" t="n">
        <f aca="false">IF(E18=0,0,E19/E18)</f>
        <v>-0.0108547855160663</v>
      </c>
    </row>
    <row r="22" customFormat="false" ht="15" hidden="false" customHeight="false" outlineLevel="0" collapsed="false">
      <c r="A22" s="5" t="s">
        <v>196</v>
      </c>
      <c r="B22" s="25" t="n">
        <f aca="false">B8+B9+B10</f>
        <v>0.191528055769231</v>
      </c>
      <c r="C22" s="25" t="n">
        <f aca="false">C8+C9+C10</f>
        <v>0.191528055769231</v>
      </c>
      <c r="D22" s="25" t="n">
        <f aca="false">D8+D9+D10</f>
        <v>0.191528055769231</v>
      </c>
      <c r="E22" s="25" t="n">
        <f aca="false">E8+E9+E10</f>
        <v>0.191528055769231</v>
      </c>
    </row>
    <row r="23" customFormat="false" ht="15" hidden="false" customHeight="false" outlineLevel="0" collapsed="false">
      <c r="A23" s="5" t="s">
        <v>197</v>
      </c>
      <c r="B23" s="13" t="n">
        <f aca="false">IF(B16=0,0,(B5+B6)/B16)</f>
        <v>0</v>
      </c>
      <c r="C23" s="13" t="n">
        <f aca="false">IF(C16=0,0,(C5+C6)/C16)</f>
        <v>0.869300096363295</v>
      </c>
      <c r="D23" s="13" t="n">
        <f aca="false">IF(D16=0,0,(D5+D6)/D16)</f>
        <v>0.882313072616947</v>
      </c>
      <c r="E23" s="13" t="n">
        <f aca="false">IF(E16=0,0,(E5+E6)/E16)</f>
        <v>0.838994164122009</v>
      </c>
    </row>
    <row r="24" customFormat="false" ht="15" hidden="false" customHeight="false" outlineLevel="0" collapsed="false">
      <c r="A24" s="5" t="s">
        <v>198</v>
      </c>
      <c r="B24" s="25" t="n">
        <f aca="false">B7+B8+B9+B10+B11+B12+B13</f>
        <v>1.09152805576923</v>
      </c>
      <c r="C24" s="25" t="n">
        <f aca="false">C7+C8+C9+C10+C11+C12+C13</f>
        <v>8.25652805576923</v>
      </c>
      <c r="D24" s="25" t="n">
        <f aca="false">D7+D8+D9+D10+D11+D12+D13</f>
        <v>8.25652805576923</v>
      </c>
      <c r="E24" s="25" t="n">
        <f aca="false">E7+E8+E9+E10+E11+E12+E13</f>
        <v>8.25652805576923</v>
      </c>
    </row>
    <row r="26" customFormat="false" ht="43.5" hidden="false" customHeight="true" outlineLevel="0" collapsed="false">
      <c r="A26" s="14" t="s">
        <v>199</v>
      </c>
      <c r="B26" s="14"/>
      <c r="C26" s="14"/>
      <c r="D26" s="14"/>
      <c r="E26" s="14"/>
    </row>
  </sheetData>
  <mergeCells count="2">
    <mergeCell ref="A2:E2"/>
    <mergeCell ref="A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7"/>
    <col collapsed="false" customWidth="true" hidden="false" outlineLevel="0" max="12" min="12" style="0" width="11"/>
    <col collapsed="false" customWidth="true" hidden="false" outlineLevel="0" max="14" min="13" style="0" width="13"/>
    <col collapsed="false" customWidth="true" hidden="false" outlineLevel="0" max="17" min="15" style="0" width="12"/>
  </cols>
  <sheetData>
    <row r="1" customFormat="false" ht="17.35" hidden="false" customHeight="false" outlineLevel="0" collapsed="false">
      <c r="A1" s="1" t="s">
        <v>200</v>
      </c>
    </row>
    <row r="2" customFormat="false" ht="43.5" hidden="false" customHeight="true" outlineLevel="0" collapsed="false">
      <c r="A2" s="2" t="s">
        <v>201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0" hidden="false" customHeight="true" outlineLevel="0" collapsed="false">
      <c r="A4" s="3" t="s">
        <v>202</v>
      </c>
      <c r="B4" s="4" t="s">
        <v>203</v>
      </c>
      <c r="C4" s="4" t="s">
        <v>204</v>
      </c>
      <c r="D4" s="4" t="s">
        <v>205</v>
      </c>
      <c r="E4" s="4" t="s">
        <v>206</v>
      </c>
      <c r="F4" s="4" t="s">
        <v>207</v>
      </c>
      <c r="G4" s="4" t="s">
        <v>208</v>
      </c>
      <c r="H4" s="4" t="s">
        <v>209</v>
      </c>
      <c r="I4" s="4" t="s">
        <v>210</v>
      </c>
      <c r="J4" s="4" t="s">
        <v>211</v>
      </c>
      <c r="K4" s="4" t="s">
        <v>212</v>
      </c>
      <c r="L4" s="4" t="s">
        <v>213</v>
      </c>
      <c r="M4" s="4" t="s">
        <v>214</v>
      </c>
      <c r="N4" s="4" t="s">
        <v>215</v>
      </c>
      <c r="O4" s="4" t="s">
        <v>216</v>
      </c>
      <c r="P4" s="4" t="s">
        <v>217</v>
      </c>
      <c r="Q4" s="4" t="s">
        <v>6</v>
      </c>
    </row>
    <row r="5" customFormat="false" ht="15" hidden="false" customHeight="false" outlineLevel="0" collapsed="false">
      <c r="A5" s="5" t="s">
        <v>218</v>
      </c>
      <c r="B5" s="30" t="s">
        <v>219</v>
      </c>
      <c r="C5" s="20" t="n">
        <v>1</v>
      </c>
      <c r="D5" s="20" t="n">
        <v>12000</v>
      </c>
      <c r="E5" s="12" t="n">
        <v>100</v>
      </c>
      <c r="F5" s="12" t="n">
        <v>599</v>
      </c>
      <c r="G5" s="25" t="n">
        <f aca="false">F5*Inputs!$B$56</f>
        <v>329.45</v>
      </c>
      <c r="H5" s="25" t="n">
        <f aca="false">F5*Inputs!$B$57</f>
        <v>359.4</v>
      </c>
      <c r="I5" s="6" t="n">
        <f aca="false">Inputs!$B$58</f>
        <v>35</v>
      </c>
      <c r="J5" s="25" t="n">
        <f aca="false">F5*Inputs!$B$59</f>
        <v>47.92</v>
      </c>
      <c r="K5" s="25" t="n">
        <f aca="false">IF(Inputs!$B$55=1,G5,H5+I5+J5)</f>
        <v>329.45</v>
      </c>
      <c r="L5" s="6" t="n">
        <f aca="false">Inputs!$B$34</f>
        <v>0.5</v>
      </c>
      <c r="M5" s="25" t="n">
        <f aca="false">F5*Inputs!$B$32+Inputs!$B$33</f>
        <v>17.671</v>
      </c>
      <c r="N5" s="25" t="n">
        <f aca="false">F5*Inputs!$B$60</f>
        <v>0</v>
      </c>
      <c r="O5" s="27" t="n">
        <f aca="false">K5+L5+M5+N5</f>
        <v>347.621</v>
      </c>
      <c r="P5" s="7" t="n">
        <f aca="false">F5-O5</f>
        <v>251.379</v>
      </c>
      <c r="Q5" s="8" t="n">
        <f aca="false">IF(F5=0,0,P5/F5)</f>
        <v>0.419664440734558</v>
      </c>
    </row>
    <row r="6" customFormat="false" ht="15" hidden="false" customHeight="false" outlineLevel="0" collapsed="false">
      <c r="A6" s="5" t="s">
        <v>220</v>
      </c>
      <c r="B6" s="30" t="s">
        <v>219</v>
      </c>
      <c r="C6" s="20" t="n">
        <v>2</v>
      </c>
      <c r="D6" s="20" t="n">
        <v>24000</v>
      </c>
      <c r="E6" s="12" t="n">
        <v>75</v>
      </c>
      <c r="F6" s="12" t="n">
        <v>999</v>
      </c>
      <c r="G6" s="25" t="n">
        <f aca="false">F6*Inputs!$B$56</f>
        <v>549.45</v>
      </c>
      <c r="H6" s="25" t="n">
        <f aca="false">F6*Inputs!$B$57</f>
        <v>599.4</v>
      </c>
      <c r="I6" s="6" t="n">
        <f aca="false">Inputs!$B$58</f>
        <v>35</v>
      </c>
      <c r="J6" s="25" t="n">
        <f aca="false">F6*Inputs!$B$59</f>
        <v>79.92</v>
      </c>
      <c r="K6" s="25" t="n">
        <f aca="false">IF(Inputs!$B$55=1,G6,H6+I6+J6)</f>
        <v>549.45</v>
      </c>
      <c r="L6" s="6" t="n">
        <f aca="false">Inputs!$B$34</f>
        <v>0.5</v>
      </c>
      <c r="M6" s="25" t="n">
        <f aca="false">F6*Inputs!$B$32+Inputs!$B$33</f>
        <v>29.271</v>
      </c>
      <c r="N6" s="25" t="n">
        <f aca="false">F6*Inputs!$B$60</f>
        <v>0</v>
      </c>
      <c r="O6" s="27" t="n">
        <f aca="false">K6+L6+M6+N6</f>
        <v>579.221</v>
      </c>
      <c r="P6" s="7" t="n">
        <f aca="false">F6-O6</f>
        <v>419.779</v>
      </c>
      <c r="Q6" s="8" t="n">
        <f aca="false">IF(F6=0,0,P6/F6)</f>
        <v>0.420199199199199</v>
      </c>
    </row>
    <row r="7" customFormat="false" ht="15" hidden="false" customHeight="false" outlineLevel="0" collapsed="false">
      <c r="A7" s="5" t="s">
        <v>221</v>
      </c>
      <c r="B7" s="30" t="s">
        <v>219</v>
      </c>
      <c r="C7" s="20" t="n">
        <v>3</v>
      </c>
      <c r="D7" s="20" t="n">
        <v>36000</v>
      </c>
      <c r="E7" s="12" t="n">
        <v>50</v>
      </c>
      <c r="F7" s="12" t="n">
        <v>1499</v>
      </c>
      <c r="G7" s="25" t="n">
        <f aca="false">F7*Inputs!$B$56</f>
        <v>824.45</v>
      </c>
      <c r="H7" s="25" t="n">
        <f aca="false">F7*Inputs!$B$57</f>
        <v>899.4</v>
      </c>
      <c r="I7" s="6" t="n">
        <f aca="false">Inputs!$B$58</f>
        <v>35</v>
      </c>
      <c r="J7" s="25" t="n">
        <f aca="false">F7*Inputs!$B$59</f>
        <v>119.92</v>
      </c>
      <c r="K7" s="25" t="n">
        <f aca="false">IF(Inputs!$B$55=1,G7,H7+I7+J7)</f>
        <v>824.45</v>
      </c>
      <c r="L7" s="6" t="n">
        <f aca="false">Inputs!$B$34</f>
        <v>0.5</v>
      </c>
      <c r="M7" s="25" t="n">
        <f aca="false">F7*Inputs!$B$32+Inputs!$B$33</f>
        <v>43.771</v>
      </c>
      <c r="N7" s="25" t="n">
        <f aca="false">F7*Inputs!$B$60</f>
        <v>0</v>
      </c>
      <c r="O7" s="27" t="n">
        <f aca="false">K7+L7+M7+N7</f>
        <v>868.721</v>
      </c>
      <c r="P7" s="7" t="n">
        <f aca="false">F7-O7</f>
        <v>630.279</v>
      </c>
      <c r="Q7" s="8" t="n">
        <f aca="false">IF(F7=0,0,P7/F7)</f>
        <v>0.420466310873916</v>
      </c>
    </row>
    <row r="8" customFormat="false" ht="15" hidden="false" customHeight="false" outlineLevel="0" collapsed="false">
      <c r="A8" s="5" t="s">
        <v>222</v>
      </c>
      <c r="B8" s="30" t="s">
        <v>223</v>
      </c>
      <c r="C8" s="20" t="n">
        <v>1</v>
      </c>
      <c r="D8" s="20" t="n">
        <v>12000</v>
      </c>
      <c r="E8" s="12" t="n">
        <v>100</v>
      </c>
      <c r="F8" s="12" t="n">
        <v>799</v>
      </c>
      <c r="G8" s="25" t="n">
        <f aca="false">F8*Inputs!$B$56</f>
        <v>439.45</v>
      </c>
      <c r="H8" s="25" t="n">
        <f aca="false">F8*Inputs!$B$57</f>
        <v>479.4</v>
      </c>
      <c r="I8" s="6" t="n">
        <f aca="false">Inputs!$B$58</f>
        <v>35</v>
      </c>
      <c r="J8" s="25" t="n">
        <f aca="false">F8*Inputs!$B$59</f>
        <v>63.92</v>
      </c>
      <c r="K8" s="25" t="n">
        <f aca="false">IF(Inputs!$B$55=1,G8,H8+I8+J8)</f>
        <v>439.45</v>
      </c>
      <c r="L8" s="6" t="n">
        <f aca="false">Inputs!$B$34</f>
        <v>0.5</v>
      </c>
      <c r="M8" s="25" t="n">
        <f aca="false">F8*Inputs!$B$32+Inputs!$B$33</f>
        <v>23.471</v>
      </c>
      <c r="N8" s="25" t="n">
        <f aca="false">F8*Inputs!$B$60</f>
        <v>0</v>
      </c>
      <c r="O8" s="27" t="n">
        <f aca="false">K8+L8+M8+N8</f>
        <v>463.421</v>
      </c>
      <c r="P8" s="7" t="n">
        <f aca="false">F8-O8</f>
        <v>335.579</v>
      </c>
      <c r="Q8" s="8" t="n">
        <f aca="false">IF(F8=0,0,P8/F8)</f>
        <v>0.419998748435544</v>
      </c>
    </row>
    <row r="9" customFormat="false" ht="15" hidden="false" customHeight="false" outlineLevel="0" collapsed="false">
      <c r="A9" s="5" t="s">
        <v>224</v>
      </c>
      <c r="B9" s="30" t="s">
        <v>223</v>
      </c>
      <c r="C9" s="20" t="n">
        <v>2</v>
      </c>
      <c r="D9" s="20" t="n">
        <v>24000</v>
      </c>
      <c r="E9" s="12" t="n">
        <v>100</v>
      </c>
      <c r="F9" s="12" t="n">
        <v>1399</v>
      </c>
      <c r="G9" s="25" t="n">
        <f aca="false">F9*Inputs!$B$56</f>
        <v>769.45</v>
      </c>
      <c r="H9" s="25" t="n">
        <f aca="false">F9*Inputs!$B$57</f>
        <v>839.4</v>
      </c>
      <c r="I9" s="6" t="n">
        <f aca="false">Inputs!$B$58</f>
        <v>35</v>
      </c>
      <c r="J9" s="25" t="n">
        <f aca="false">F9*Inputs!$B$59</f>
        <v>111.92</v>
      </c>
      <c r="K9" s="25" t="n">
        <f aca="false">IF(Inputs!$B$55=1,G9,H9+I9+J9)</f>
        <v>769.45</v>
      </c>
      <c r="L9" s="6" t="n">
        <f aca="false">Inputs!$B$34</f>
        <v>0.5</v>
      </c>
      <c r="M9" s="25" t="n">
        <f aca="false">F9*Inputs!$B$32+Inputs!$B$33</f>
        <v>40.871</v>
      </c>
      <c r="N9" s="25" t="n">
        <f aca="false">F9*Inputs!$B$60</f>
        <v>0</v>
      </c>
      <c r="O9" s="27" t="n">
        <f aca="false">K9+L9+M9+N9</f>
        <v>810.821</v>
      </c>
      <c r="P9" s="7" t="n">
        <f aca="false">F9-O9</f>
        <v>588.179</v>
      </c>
      <c r="Q9" s="8" t="n">
        <f aca="false">IF(F9=0,0,P9/F9)</f>
        <v>0.420428162973553</v>
      </c>
    </row>
    <row r="11" customFormat="false" ht="30" hidden="false" customHeight="true" outlineLevel="0" collapsed="false">
      <c r="A11" s="2" t="s">
        <v>225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customFormat="false" ht="30" hidden="false" customHeight="true" outlineLevel="0" collapsed="false">
      <c r="A12" s="2" t="s">
        <v>226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4" customFormat="false" ht="15" hidden="false" customHeight="false" outlineLevel="0" collapsed="false">
      <c r="A14" s="10" t="s">
        <v>227</v>
      </c>
    </row>
    <row r="15" customFormat="false" ht="30" hidden="false" customHeight="true" outlineLevel="0" collapsed="false">
      <c r="A15" s="3" t="s">
        <v>228</v>
      </c>
      <c r="B15" s="4" t="s">
        <v>229</v>
      </c>
      <c r="C15" s="4" t="s">
        <v>230</v>
      </c>
      <c r="D15" s="4" t="s">
        <v>231</v>
      </c>
    </row>
    <row r="16" customFormat="false" ht="15" hidden="false" customHeight="false" outlineLevel="0" collapsed="false">
      <c r="A16" s="22" t="n">
        <v>0.45</v>
      </c>
      <c r="B16" s="13" t="n">
        <f aca="false">1-(F5*$A16+Inputs!$B$34+F5*Inputs!$B$32+Inputs!$B$33+F5*Inputs!$B$60)/F5</f>
        <v>0.519664440734558</v>
      </c>
      <c r="C16" s="13" t="n">
        <f aca="false">1-(F6*$A16+Inputs!$B$34+F6*Inputs!$B$32+Inputs!$B$33+F6*Inputs!$B$60)/F6</f>
        <v>0.520199199199199</v>
      </c>
      <c r="D16" s="13" t="n">
        <f aca="false">1-(F7*$A16+Inputs!$B$34+F7*Inputs!$B$32+Inputs!$B$33+F7*Inputs!$B$60)/F7</f>
        <v>0.520466310873916</v>
      </c>
    </row>
    <row r="17" customFormat="false" ht="15" hidden="false" customHeight="false" outlineLevel="0" collapsed="false">
      <c r="A17" s="22" t="n">
        <v>0.5</v>
      </c>
      <c r="B17" s="13" t="n">
        <f aca="false">1-(F5*$A17+Inputs!$B$34+F5*Inputs!$B$32+Inputs!$B$33+F5*Inputs!$B$60)/F5</f>
        <v>0.469664440734558</v>
      </c>
      <c r="C17" s="13" t="n">
        <f aca="false">1-(F6*$A17+Inputs!$B$34+F6*Inputs!$B$32+Inputs!$B$33+F6*Inputs!$B$60)/F6</f>
        <v>0.470199199199199</v>
      </c>
      <c r="D17" s="13" t="n">
        <f aca="false">1-(F7*$A17+Inputs!$B$34+F7*Inputs!$B$32+Inputs!$B$33+F7*Inputs!$B$60)/F7</f>
        <v>0.470466310873916</v>
      </c>
    </row>
    <row r="18" customFormat="false" ht="15" hidden="false" customHeight="false" outlineLevel="0" collapsed="false">
      <c r="A18" s="22" t="n">
        <v>0.55</v>
      </c>
      <c r="B18" s="13" t="n">
        <f aca="false">1-(F5*$A18+Inputs!$B$34+F5*Inputs!$B$32+Inputs!$B$33+F5*Inputs!$B$60)/F5</f>
        <v>0.419664440734558</v>
      </c>
      <c r="C18" s="13" t="n">
        <f aca="false">1-(F6*$A18+Inputs!$B$34+F6*Inputs!$B$32+Inputs!$B$33+F6*Inputs!$B$60)/F6</f>
        <v>0.420199199199199</v>
      </c>
      <c r="D18" s="13" t="n">
        <f aca="false">1-(F7*$A18+Inputs!$B$34+F7*Inputs!$B$32+Inputs!$B$33+F7*Inputs!$B$60)/F7</f>
        <v>0.420466310873916</v>
      </c>
    </row>
    <row r="19" customFormat="false" ht="15" hidden="false" customHeight="false" outlineLevel="0" collapsed="false">
      <c r="A19" s="22" t="n">
        <v>0.6</v>
      </c>
      <c r="B19" s="13" t="n">
        <f aca="false">1-(F5*$A19+Inputs!$B$34+F5*Inputs!$B$32+Inputs!$B$33+F5*Inputs!$B$60)/F5</f>
        <v>0.369664440734558</v>
      </c>
      <c r="C19" s="13" t="n">
        <f aca="false">1-(F6*$A19+Inputs!$B$34+F6*Inputs!$B$32+Inputs!$B$33+F6*Inputs!$B$60)/F6</f>
        <v>0.370199199199199</v>
      </c>
      <c r="D19" s="13" t="n">
        <f aca="false">1-(F7*$A19+Inputs!$B$34+F7*Inputs!$B$32+Inputs!$B$33+F7*Inputs!$B$60)/F7</f>
        <v>0.370466310873916</v>
      </c>
    </row>
    <row r="20" customFormat="false" ht="15" hidden="false" customHeight="false" outlineLevel="0" collapsed="false">
      <c r="A20" s="22" t="n">
        <v>0.65</v>
      </c>
      <c r="B20" s="13" t="n">
        <f aca="false">1-(F5*$A20+Inputs!$B$34+F5*Inputs!$B$32+Inputs!$B$33+F5*Inputs!$B$60)/F5</f>
        <v>0.319664440734558</v>
      </c>
      <c r="C20" s="13" t="n">
        <f aca="false">1-(F6*$A20+Inputs!$B$34+F6*Inputs!$B$32+Inputs!$B$33+F6*Inputs!$B$60)/F6</f>
        <v>0.320199199199199</v>
      </c>
      <c r="D20" s="13" t="n">
        <f aca="false">1-(F7*$A20+Inputs!$B$34+F7*Inputs!$B$32+Inputs!$B$33+F7*Inputs!$B$60)/F7</f>
        <v>0.320466310873916</v>
      </c>
    </row>
    <row r="22" customFormat="false" ht="15" hidden="false" customHeight="false" outlineLevel="0" collapsed="false">
      <c r="A22" s="10" t="s">
        <v>232</v>
      </c>
    </row>
    <row r="23" customFormat="false" ht="30" hidden="false" customHeight="true" outlineLevel="0" collapsed="false">
      <c r="A23" s="3" t="s">
        <v>233</v>
      </c>
      <c r="B23" s="4" t="s">
        <v>229</v>
      </c>
      <c r="C23" s="4" t="s">
        <v>230</v>
      </c>
      <c r="D23" s="4" t="s">
        <v>231</v>
      </c>
    </row>
    <row r="24" customFormat="false" ht="15" hidden="false" customHeight="false" outlineLevel="0" collapsed="false">
      <c r="A24" s="22" t="n">
        <v>0.5</v>
      </c>
      <c r="B24" s="13" t="n">
        <f aca="false">1-(F5*$A24+Inputs!$B$58+F5*Inputs!$B$59+Inputs!$B$34+F5*Inputs!$B$32+Inputs!$B$33+F5*Inputs!$B$60)/F5</f>
        <v>0.331233722871452</v>
      </c>
      <c r="C24" s="13" t="n">
        <f aca="false">1-(F6*$A24+Inputs!$B$58+F6*Inputs!$B$59+Inputs!$B$34+F6*Inputs!$B$32+Inputs!$B$33+F6*Inputs!$B$60)/F6</f>
        <v>0.355164164164164</v>
      </c>
      <c r="D24" s="13" t="n">
        <f aca="false">1-(F7*$A24+Inputs!$B$58+F7*Inputs!$B$59+Inputs!$B$34+F7*Inputs!$B$32+Inputs!$B$33+F7*Inputs!$B$60)/F7</f>
        <v>0.367117411607739</v>
      </c>
    </row>
    <row r="25" customFormat="false" ht="15" hidden="false" customHeight="false" outlineLevel="0" collapsed="false">
      <c r="A25" s="22" t="n">
        <v>0.55</v>
      </c>
      <c r="B25" s="13" t="n">
        <f aca="false">1-(F5*$A25+Inputs!$B$58+F5*Inputs!$B$59+Inputs!$B$34+F5*Inputs!$B$32+Inputs!$B$33+F5*Inputs!$B$60)/F5</f>
        <v>0.281233722871452</v>
      </c>
      <c r="C25" s="13" t="n">
        <f aca="false">1-(F6*$A25+Inputs!$B$58+F6*Inputs!$B$59+Inputs!$B$34+F6*Inputs!$B$32+Inputs!$B$33+F6*Inputs!$B$60)/F6</f>
        <v>0.305164164164164</v>
      </c>
      <c r="D25" s="13" t="n">
        <f aca="false">1-(F7*$A25+Inputs!$B$58+F7*Inputs!$B$59+Inputs!$B$34+F7*Inputs!$B$32+Inputs!$B$33+F7*Inputs!$B$60)/F7</f>
        <v>0.317117411607739</v>
      </c>
    </row>
    <row r="26" customFormat="false" ht="15" hidden="false" customHeight="false" outlineLevel="0" collapsed="false">
      <c r="A26" s="22" t="n">
        <v>0.6</v>
      </c>
      <c r="B26" s="13" t="n">
        <f aca="false">1-(F5*$A26+Inputs!$B$58+F5*Inputs!$B$59+Inputs!$B$34+F5*Inputs!$B$32+Inputs!$B$33+F5*Inputs!$B$60)/F5</f>
        <v>0.231233722871453</v>
      </c>
      <c r="C26" s="13" t="n">
        <f aca="false">1-(F6*$A26+Inputs!$B$58+F6*Inputs!$B$59+Inputs!$B$34+F6*Inputs!$B$32+Inputs!$B$33+F6*Inputs!$B$60)/F6</f>
        <v>0.255164164164164</v>
      </c>
      <c r="D26" s="13" t="n">
        <f aca="false">1-(F7*$A26+Inputs!$B$58+F7*Inputs!$B$59+Inputs!$B$34+F7*Inputs!$B$32+Inputs!$B$33+F7*Inputs!$B$60)/F7</f>
        <v>0.267117411607739</v>
      </c>
    </row>
    <row r="27" customFormat="false" ht="15" hidden="false" customHeight="false" outlineLevel="0" collapsed="false">
      <c r="A27" s="22" t="n">
        <v>0.65</v>
      </c>
      <c r="B27" s="13" t="n">
        <f aca="false">1-(F5*$A27+Inputs!$B$58+F5*Inputs!$B$59+Inputs!$B$34+F5*Inputs!$B$32+Inputs!$B$33+F5*Inputs!$B$60)/F5</f>
        <v>0.181233722871452</v>
      </c>
      <c r="C27" s="13" t="n">
        <f aca="false">1-(F6*$A27+Inputs!$B$58+F6*Inputs!$B$59+Inputs!$B$34+F6*Inputs!$B$32+Inputs!$B$33+F6*Inputs!$B$60)/F6</f>
        <v>0.205164164164164</v>
      </c>
      <c r="D27" s="13" t="n">
        <f aca="false">1-(F7*$A27+Inputs!$B$58+F7*Inputs!$B$59+Inputs!$B$34+F7*Inputs!$B$32+Inputs!$B$33+F7*Inputs!$B$60)/F7</f>
        <v>0.217117411607739</v>
      </c>
    </row>
    <row r="28" customFormat="false" ht="15" hidden="false" customHeight="false" outlineLevel="0" collapsed="false">
      <c r="A28" s="22" t="n">
        <v>0.7</v>
      </c>
      <c r="B28" s="13" t="n">
        <f aca="false">1-(F5*$A28+Inputs!$B$58+F5*Inputs!$B$59+Inputs!$B$34+F5*Inputs!$B$32+Inputs!$B$33+F5*Inputs!$B$60)/F5</f>
        <v>0.131233722871453</v>
      </c>
      <c r="C28" s="13" t="n">
        <f aca="false">1-(F6*$A28+Inputs!$B$58+F6*Inputs!$B$59+Inputs!$B$34+F6*Inputs!$B$32+Inputs!$B$33+F6*Inputs!$B$60)/F6</f>
        <v>0.155164164164164</v>
      </c>
      <c r="D28" s="13" t="n">
        <f aca="false">1-(F7*$A28+Inputs!$B$58+F7*Inputs!$B$59+Inputs!$B$34+F7*Inputs!$B$32+Inputs!$B$33+F7*Inputs!$B$60)/F7</f>
        <v>0.167117411607739</v>
      </c>
    </row>
    <row r="29" customFormat="false" ht="15" hidden="false" customHeight="false" outlineLevel="0" collapsed="false">
      <c r="A29" s="22" t="n">
        <v>0.75</v>
      </c>
      <c r="B29" s="13" t="n">
        <f aca="false">1-(F5*$A29+Inputs!$B$58+F5*Inputs!$B$59+Inputs!$B$34+F5*Inputs!$B$32+Inputs!$B$33+F5*Inputs!$B$60)/F5</f>
        <v>0.0812337228714526</v>
      </c>
      <c r="C29" s="13" t="n">
        <f aca="false">1-(F6*$A29+Inputs!$B$58+F6*Inputs!$B$59+Inputs!$B$34+F6*Inputs!$B$32+Inputs!$B$33+F6*Inputs!$B$60)/F6</f>
        <v>0.105164164164164</v>
      </c>
      <c r="D29" s="13" t="n">
        <f aca="false">1-(F7*$A29+Inputs!$B$58+F7*Inputs!$B$59+Inputs!$B$34+F7*Inputs!$B$32+Inputs!$B$33+F7*Inputs!$B$60)/F7</f>
        <v>0.117117411607738</v>
      </c>
    </row>
  </sheetData>
  <mergeCells count="3">
    <mergeCell ref="A2:M2"/>
    <mergeCell ref="A11:Q11"/>
    <mergeCell ref="A12:Q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22"/>
  </cols>
  <sheetData>
    <row r="1" customFormat="false" ht="17.35" hidden="false" customHeight="false" outlineLevel="0" collapsed="false">
      <c r="A1" s="1" t="s">
        <v>234</v>
      </c>
    </row>
    <row r="2" customFormat="false" ht="43.5" hidden="false" customHeight="true" outlineLevel="0" collapsed="false">
      <c r="A2" s="2" t="s">
        <v>235</v>
      </c>
      <c r="B2" s="2"/>
      <c r="C2" s="2"/>
    </row>
    <row r="4" customFormat="false" ht="30" hidden="false" customHeight="true" outlineLevel="0" collapsed="false">
      <c r="A4" s="3" t="s">
        <v>178</v>
      </c>
      <c r="B4" s="4" t="s">
        <v>236</v>
      </c>
      <c r="C4" s="4" t="s">
        <v>237</v>
      </c>
    </row>
    <row r="5" customFormat="false" ht="15" hidden="false" customHeight="false" outlineLevel="0" collapsed="false">
      <c r="A5" s="5" t="s">
        <v>238</v>
      </c>
      <c r="B5" s="6" t="n">
        <f aca="false">Inputs!$B$64*((Inputs!$B$65+Inputs!$B$63*Inputs!$B$15)*Inputs!$B$13/1000000+Inputs!$B$66*Inputs!$B$14/1000000)</f>
        <v>0.128856</v>
      </c>
      <c r="C5" s="6" t="n">
        <f aca="false">Inputs!$B$64*((Inputs!$B$65+Inputs!$B$63*Inputs!$B$15)*Inputs!$B$13/1000000+Inputs!$B$66*Inputs!$B$14/1000000)</f>
        <v>0.128856</v>
      </c>
    </row>
    <row r="6" customFormat="false" ht="15" hidden="false" customHeight="false" outlineLevel="0" collapsed="false">
      <c r="A6" s="5" t="s">
        <v>239</v>
      </c>
      <c r="B6" s="25" t="n">
        <f aca="false">((Inputs!$B$67*Inputs!$B$26+Inputs!$B$27)/1024)*Inputs!$B$23*Inputs!$B$68+Inputs!$B$29/1000000*Inputs!$B$24</f>
        <v>0.03414375</v>
      </c>
      <c r="C6" s="25" t="n">
        <f aca="false">((Inputs!$B$67*Inputs!$B$26+Inputs!$B$27)/1024)*Inputs!$B$23*Inputs!$B$68+Inputs!$B$29/1000000*Inputs!$B$24</f>
        <v>0.03414375</v>
      </c>
    </row>
    <row r="7" customFormat="false" ht="15" hidden="false" customHeight="false" outlineLevel="0" collapsed="false">
      <c r="A7" s="5" t="s">
        <v>240</v>
      </c>
      <c r="B7" s="6" t="n">
        <f aca="false">Inputs!$B$7/(Inputs!$B$5+Inputs!$B$6)</f>
        <v>0.0557692307692308</v>
      </c>
      <c r="C7" s="6" t="n">
        <f aca="false">Inputs!$B$7/(Inputs!$B$5+Inputs!$B$6)</f>
        <v>0.0557692307692308</v>
      </c>
    </row>
    <row r="8" customFormat="false" ht="15" hidden="false" customHeight="false" outlineLevel="0" collapsed="false">
      <c r="A8" s="5" t="s">
        <v>241</v>
      </c>
      <c r="B8" s="6" t="n">
        <f aca="false">Inputs!$B$69/(Inputs!$B$70*Inputs!$B$71)</f>
        <v>0.0694444444444445</v>
      </c>
      <c r="C8" s="6" t="n">
        <f aca="false">Inputs!$B$69/(Inputs!$B$70*Inputs!$B$71)</f>
        <v>0.0694444444444445</v>
      </c>
    </row>
    <row r="9" customFormat="false" ht="15" hidden="false" customHeight="false" outlineLevel="0" collapsed="false">
      <c r="A9" s="5" t="s">
        <v>242</v>
      </c>
      <c r="B9" s="6" t="n">
        <f aca="false">Inputs!$B$10*Inputs!$B$8</f>
        <v>0.12</v>
      </c>
      <c r="C9" s="6" t="n">
        <f aca="false">Inputs!$B$10*Inputs!$B$8</f>
        <v>0.12</v>
      </c>
    </row>
    <row r="10" customFormat="false" ht="15" hidden="false" customHeight="false" outlineLevel="0" collapsed="false">
      <c r="A10" s="5" t="s">
        <v>243</v>
      </c>
      <c r="B10" s="25" t="n">
        <f aca="false">(Inputs!$B$72*Inputs!$B$71*Inputs!$B$32+Inputs!$B$33)/Inputs!$B$71</f>
        <v>0.1185</v>
      </c>
      <c r="C10" s="25" t="n">
        <f aca="false">(Inputs!$B$73*Inputs!$B$32+Inputs!$B$33)/Inputs!$B$71</f>
        <v>0.0747583333333333</v>
      </c>
    </row>
    <row r="11" customFormat="false" ht="15" hidden="false" customHeight="false" outlineLevel="0" collapsed="false">
      <c r="A11" s="26" t="s">
        <v>193</v>
      </c>
      <c r="B11" s="27" t="n">
        <f aca="false">SUM(B5:B10)</f>
        <v>0.526713425213675</v>
      </c>
      <c r="C11" s="27" t="n">
        <f aca="false">SUM(C5:C10)</f>
        <v>0.482971758547009</v>
      </c>
    </row>
    <row r="13" customFormat="false" ht="15" hidden="false" customHeight="false" outlineLevel="0" collapsed="false">
      <c r="A13" s="28" t="s">
        <v>244</v>
      </c>
      <c r="B13" s="29" t="n">
        <f aca="false">Inputs!$B$72</f>
        <v>4</v>
      </c>
      <c r="C13" s="29" t="n">
        <f aca="false">Inputs!$B$73/Inputs!$B$71</f>
        <v>2.49166666666667</v>
      </c>
    </row>
    <row r="14" customFormat="false" ht="15" hidden="false" customHeight="false" outlineLevel="0" collapsed="false">
      <c r="A14" s="28" t="s">
        <v>195</v>
      </c>
      <c r="B14" s="7" t="n">
        <f aca="false">B13-B11</f>
        <v>3.47328657478632</v>
      </c>
      <c r="C14" s="7" t="n">
        <f aca="false">C13-C11</f>
        <v>2.00869490811966</v>
      </c>
    </row>
    <row r="15" customFormat="false" ht="15" hidden="false" customHeight="false" outlineLevel="0" collapsed="false">
      <c r="A15" s="28" t="s">
        <v>6</v>
      </c>
      <c r="B15" s="8" t="n">
        <f aca="false">IF(B13=0,0,B14/B13)</f>
        <v>0.868321643696581</v>
      </c>
      <c r="C15" s="8" t="n">
        <f aca="false">IF(C13=0,0,C14/C13)</f>
        <v>0.806165180516251</v>
      </c>
    </row>
    <row r="17" customFormat="false" ht="15" hidden="false" customHeight="false" outlineLevel="0" collapsed="false">
      <c r="A17" s="31" t="s">
        <v>245</v>
      </c>
      <c r="B17" s="32"/>
      <c r="C17" s="32"/>
    </row>
    <row r="18" customFormat="false" ht="15" hidden="false" customHeight="false" outlineLevel="0" collapsed="false">
      <c r="A18" s="5" t="s">
        <v>246</v>
      </c>
      <c r="B18" s="25" t="n">
        <f aca="false">B13*Inputs!$B$71</f>
        <v>480</v>
      </c>
      <c r="C18" s="6" t="n">
        <f aca="false">Inputs!$B$73</f>
        <v>299</v>
      </c>
    </row>
    <row r="19" customFormat="false" ht="15" hidden="false" customHeight="false" outlineLevel="0" collapsed="false">
      <c r="A19" s="5" t="s">
        <v>247</v>
      </c>
      <c r="B19" s="25" t="n">
        <f aca="false">B11*Inputs!$B$71</f>
        <v>63.205611025641</v>
      </c>
      <c r="C19" s="25" t="n">
        <f aca="false">C11*Inputs!$B$71</f>
        <v>57.956611025641</v>
      </c>
    </row>
    <row r="20" customFormat="false" ht="15" hidden="false" customHeight="false" outlineLevel="0" collapsed="false">
      <c r="A20" s="28" t="s">
        <v>248</v>
      </c>
      <c r="B20" s="7" t="n">
        <f aca="false">B18-B19</f>
        <v>416.794388974359</v>
      </c>
      <c r="C20" s="7" t="n">
        <f aca="false">C18-C19</f>
        <v>241.043388974359</v>
      </c>
    </row>
    <row r="22" customFormat="false" ht="15" hidden="false" customHeight="false" outlineLevel="0" collapsed="false">
      <c r="A22" s="31" t="s">
        <v>249</v>
      </c>
      <c r="B22" s="32"/>
      <c r="C22" s="32"/>
    </row>
    <row r="23" customFormat="false" ht="15" hidden="false" customHeight="false" outlineLevel="0" collapsed="false">
      <c r="A23" s="5" t="s">
        <v>250</v>
      </c>
      <c r="B23" s="6" t="n">
        <f aca="false">Inputs!$B$74*Inputs!$B$71</f>
        <v>720</v>
      </c>
      <c r="C23" s="6" t="n">
        <f aca="false">Inputs!$B$74*Inputs!$B$71</f>
        <v>720</v>
      </c>
    </row>
    <row r="24" customFormat="false" ht="15" hidden="false" customHeight="false" outlineLevel="0" collapsed="false">
      <c r="A24" s="28" t="s">
        <v>251</v>
      </c>
      <c r="B24" s="7" t="n">
        <f aca="false">B23-B18</f>
        <v>240</v>
      </c>
      <c r="C24" s="7" t="n">
        <f aca="false">C23-C18</f>
        <v>421</v>
      </c>
    </row>
    <row r="25" customFormat="false" ht="15" hidden="false" customHeight="false" outlineLevel="0" collapsed="false">
      <c r="A25" s="5" t="s">
        <v>252</v>
      </c>
      <c r="B25" s="33" t="n">
        <f aca="false">IF(B14&lt;=0,0,ROUNDUP(0/1,0))</f>
        <v>0</v>
      </c>
      <c r="C25" s="33" t="n">
        <f aca="false">IF(Inputs!$B$73&lt;=0,0,ROUNDUP(C11*Inputs!$B$71/MAX(C13,0.0001),0))</f>
        <v>24</v>
      </c>
    </row>
    <row r="27" customFormat="false" ht="69.75" hidden="false" customHeight="true" outlineLevel="0" collapsed="false">
      <c r="A27" s="14" t="s">
        <v>253</v>
      </c>
      <c r="B27" s="14"/>
      <c r="C27" s="14"/>
    </row>
  </sheetData>
  <mergeCells count="2">
    <mergeCell ref="A2:C2"/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2026-09-19T21:49:00Z</dcterms:created>
  <dc:creator>openpyxl</dc:creator>
  <dc:description/>
  <dc:language>en-US</dc:language>
  <cp:lastModifiedBy/>
  <dcterms:modified xsi:type="dcterms:W3CDTF">2026-09-19T21:49:00Z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